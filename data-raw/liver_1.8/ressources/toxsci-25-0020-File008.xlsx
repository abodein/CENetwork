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Doris_Tsai\Key Characteristics\manuscript\Revision1\Supplemental files\"/>
    </mc:Choice>
  </mc:AlternateContent>
  <xr:revisionPtr revIDLastSave="0" documentId="13_ncr:1_{D3A8A48E-E4EE-4BE7-985C-E0275D9E12E2}" xr6:coauthVersionLast="47" xr6:coauthVersionMax="47" xr10:uidLastSave="{00000000-0000-0000-0000-000000000000}"/>
  <bookViews>
    <workbookView xWindow="-110" yWindow="-110" windowWidth="32220" windowHeight="17620" tabRatio="831" firstSheet="19" activeTab="29" xr2:uid="{77B1BE4A-A3C5-498A-913F-89DCFFCBA4E1}"/>
  </bookViews>
  <sheets>
    <sheet name="TopPage" sheetId="6" r:id="rId1"/>
    <sheet name="Disease" sheetId="8" r:id="rId2"/>
    <sheet name="Signal Transduction" sheetId="9" r:id="rId3"/>
    <sheet name="Metabolism" sheetId="10" r:id="rId4"/>
    <sheet name="Immune System" sheetId="11" r:id="rId5"/>
    <sheet name="Cell Cycle" sheetId="12" r:id="rId6"/>
    <sheet name="Gene expression (Transcription)" sheetId="13" r:id="rId7"/>
    <sheet name="Metabolism of proteins" sheetId="14" r:id="rId8"/>
    <sheet name="Neuronal System" sheetId="15" r:id="rId9"/>
    <sheet name="Developmental Biology" sheetId="16" r:id="rId10"/>
    <sheet name="Transport of small molecules" sheetId="17" r:id="rId11"/>
    <sheet name="DNA Repair" sheetId="18" r:id="rId12"/>
    <sheet name="Cellular responses to stimuli" sheetId="19" r:id="rId13"/>
    <sheet name="Programmed Cell Death" sheetId="20" r:id="rId14"/>
    <sheet name="Hemostasis" sheetId="21" r:id="rId15"/>
    <sheet name="Vesicle-mediated transport" sheetId="22" r:id="rId16"/>
    <sheet name="Metabolism of RNA" sheetId="23" r:id="rId17"/>
    <sheet name="DNA Replication" sheetId="24" r:id="rId18"/>
    <sheet name="Sensory Perception" sheetId="25" r:id="rId19"/>
    <sheet name="Extracellular matrix organizati" sheetId="26" r:id="rId20"/>
    <sheet name="Cell-Cell communication" sheetId="27" r:id="rId21"/>
    <sheet name="Organelle biogenesis and mainte" sheetId="28" r:id="rId22"/>
    <sheet name="Autophagy" sheetId="29" r:id="rId23"/>
    <sheet name="Drug ADME" sheetId="30" r:id="rId24"/>
    <sheet name="Muscle contraction" sheetId="31" r:id="rId25"/>
    <sheet name="Reproduction" sheetId="32" r:id="rId26"/>
    <sheet name="Chromatin organization" sheetId="33" r:id="rId27"/>
    <sheet name="Digestion and absorption" sheetId="34" r:id="rId28"/>
    <sheet name="Protein localization" sheetId="35" r:id="rId29"/>
    <sheet name="Circadian Clock" sheetId="36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6" l="1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R28" i="6"/>
  <c r="S28" i="6"/>
  <c r="T28" i="6"/>
  <c r="U28" i="6"/>
  <c r="V28" i="6"/>
  <c r="W28" i="6"/>
  <c r="X28" i="6"/>
  <c r="Y28" i="6"/>
  <c r="Z28" i="6"/>
  <c r="AB28" i="6"/>
  <c r="AC28" i="6"/>
  <c r="AD28" i="6"/>
  <c r="AE28" i="6"/>
  <c r="AF28" i="6"/>
  <c r="AG28" i="6"/>
  <c r="AH28" i="6"/>
  <c r="AI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R29" i="6"/>
  <c r="S29" i="6"/>
  <c r="T29" i="6"/>
  <c r="U29" i="6"/>
  <c r="V29" i="6"/>
  <c r="W29" i="6"/>
  <c r="X29" i="6"/>
  <c r="Y29" i="6"/>
  <c r="Z29" i="6"/>
  <c r="AB29" i="6"/>
  <c r="AC29" i="6"/>
  <c r="AD29" i="6"/>
  <c r="AE29" i="6"/>
  <c r="AF29" i="6"/>
  <c r="AG29" i="6"/>
  <c r="AH29" i="6"/>
  <c r="AI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R30" i="6"/>
  <c r="S30" i="6"/>
  <c r="T30" i="6"/>
  <c r="U30" i="6"/>
  <c r="V30" i="6"/>
  <c r="W30" i="6"/>
  <c r="X30" i="6"/>
  <c r="Y30" i="6"/>
  <c r="Z30" i="6"/>
  <c r="AB30" i="6"/>
  <c r="AC30" i="6"/>
  <c r="AD30" i="6"/>
  <c r="AE30" i="6"/>
  <c r="AF30" i="6"/>
  <c r="AG30" i="6"/>
  <c r="AH30" i="6"/>
  <c r="AI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R31" i="6"/>
  <c r="S31" i="6"/>
  <c r="T31" i="6"/>
  <c r="U31" i="6"/>
  <c r="V31" i="6"/>
  <c r="W31" i="6"/>
  <c r="X31" i="6"/>
  <c r="Y31" i="6"/>
  <c r="Z31" i="6"/>
  <c r="AB31" i="6"/>
  <c r="AC31" i="6"/>
  <c r="AD31" i="6"/>
  <c r="AE31" i="6"/>
  <c r="AF31" i="6"/>
  <c r="AG31" i="6"/>
  <c r="AH31" i="6"/>
  <c r="AI31" i="6"/>
  <c r="B31" i="6"/>
  <c r="B30" i="6"/>
  <c r="B29" i="6"/>
  <c r="B28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R27" i="6"/>
  <c r="S27" i="6"/>
  <c r="T27" i="6"/>
  <c r="U27" i="6"/>
  <c r="V27" i="6"/>
  <c r="W27" i="6"/>
  <c r="X27" i="6"/>
  <c r="Y27" i="6"/>
  <c r="Z27" i="6"/>
  <c r="AB27" i="6"/>
  <c r="AC27" i="6"/>
  <c r="AD27" i="6"/>
  <c r="AE27" i="6"/>
  <c r="AF27" i="6"/>
  <c r="AG27" i="6"/>
  <c r="AH27" i="6"/>
  <c r="AI27" i="6"/>
  <c r="B27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R3" i="6"/>
  <c r="S3" i="6"/>
  <c r="T3" i="6"/>
  <c r="U3" i="6"/>
  <c r="V3" i="6"/>
  <c r="W3" i="6"/>
  <c r="X3" i="6"/>
  <c r="Y3" i="6"/>
  <c r="Z3" i="6"/>
  <c r="AB3" i="6"/>
  <c r="AC3" i="6"/>
  <c r="AD3" i="6"/>
  <c r="AE3" i="6"/>
  <c r="AF3" i="6"/>
  <c r="AG3" i="6"/>
  <c r="AH3" i="6"/>
  <c r="AI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R4" i="6"/>
  <c r="S4" i="6"/>
  <c r="T4" i="6"/>
  <c r="U4" i="6"/>
  <c r="V4" i="6"/>
  <c r="W4" i="6"/>
  <c r="X4" i="6"/>
  <c r="Y4" i="6"/>
  <c r="Z4" i="6"/>
  <c r="AB4" i="6"/>
  <c r="AC4" i="6"/>
  <c r="AD4" i="6"/>
  <c r="AE4" i="6"/>
  <c r="AF4" i="6"/>
  <c r="AG4" i="6"/>
  <c r="AH4" i="6"/>
  <c r="AI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R5" i="6"/>
  <c r="S5" i="6"/>
  <c r="T5" i="6"/>
  <c r="U5" i="6"/>
  <c r="V5" i="6"/>
  <c r="W5" i="6"/>
  <c r="X5" i="6"/>
  <c r="Y5" i="6"/>
  <c r="Z5" i="6"/>
  <c r="AB5" i="6"/>
  <c r="AC5" i="6"/>
  <c r="AD5" i="6"/>
  <c r="AE5" i="6"/>
  <c r="AF5" i="6"/>
  <c r="AG5" i="6"/>
  <c r="AH5" i="6"/>
  <c r="AI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R6" i="6"/>
  <c r="S6" i="6"/>
  <c r="T6" i="6"/>
  <c r="U6" i="6"/>
  <c r="V6" i="6"/>
  <c r="W6" i="6"/>
  <c r="X6" i="6"/>
  <c r="Y6" i="6"/>
  <c r="Z6" i="6"/>
  <c r="AB6" i="6"/>
  <c r="AC6" i="6"/>
  <c r="AD6" i="6"/>
  <c r="AE6" i="6"/>
  <c r="AF6" i="6"/>
  <c r="AG6" i="6"/>
  <c r="AH6" i="6"/>
  <c r="AI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R7" i="6"/>
  <c r="S7" i="6"/>
  <c r="T7" i="6"/>
  <c r="U7" i="6"/>
  <c r="V7" i="6"/>
  <c r="W7" i="6"/>
  <c r="X7" i="6"/>
  <c r="Y7" i="6"/>
  <c r="Z7" i="6"/>
  <c r="AB7" i="6"/>
  <c r="AC7" i="6"/>
  <c r="AD7" i="6"/>
  <c r="AE7" i="6"/>
  <c r="AF7" i="6"/>
  <c r="AG7" i="6"/>
  <c r="AH7" i="6"/>
  <c r="AI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R8" i="6"/>
  <c r="S8" i="6"/>
  <c r="T8" i="6"/>
  <c r="U8" i="6"/>
  <c r="V8" i="6"/>
  <c r="W8" i="6"/>
  <c r="X8" i="6"/>
  <c r="Y8" i="6"/>
  <c r="Z8" i="6"/>
  <c r="AB8" i="6"/>
  <c r="AC8" i="6"/>
  <c r="AD8" i="6"/>
  <c r="AE8" i="6"/>
  <c r="AF8" i="6"/>
  <c r="AG8" i="6"/>
  <c r="AH8" i="6"/>
  <c r="AI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R9" i="6"/>
  <c r="S9" i="6"/>
  <c r="T9" i="6"/>
  <c r="U9" i="6"/>
  <c r="V9" i="6"/>
  <c r="W9" i="6"/>
  <c r="X9" i="6"/>
  <c r="Y9" i="6"/>
  <c r="Z9" i="6"/>
  <c r="AB9" i="6"/>
  <c r="AC9" i="6"/>
  <c r="AD9" i="6"/>
  <c r="AE9" i="6"/>
  <c r="AF9" i="6"/>
  <c r="AG9" i="6"/>
  <c r="AH9" i="6"/>
  <c r="AI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R10" i="6"/>
  <c r="S10" i="6"/>
  <c r="T10" i="6"/>
  <c r="U10" i="6"/>
  <c r="V10" i="6"/>
  <c r="W10" i="6"/>
  <c r="X10" i="6"/>
  <c r="Y10" i="6"/>
  <c r="Z10" i="6"/>
  <c r="AB10" i="6"/>
  <c r="AC10" i="6"/>
  <c r="AD10" i="6"/>
  <c r="AE10" i="6"/>
  <c r="AF10" i="6"/>
  <c r="AG10" i="6"/>
  <c r="AH10" i="6"/>
  <c r="AI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R11" i="6"/>
  <c r="S11" i="6"/>
  <c r="T11" i="6"/>
  <c r="U11" i="6"/>
  <c r="V11" i="6"/>
  <c r="W11" i="6"/>
  <c r="X11" i="6"/>
  <c r="Y11" i="6"/>
  <c r="Z11" i="6"/>
  <c r="AB11" i="6"/>
  <c r="AC11" i="6"/>
  <c r="AD11" i="6"/>
  <c r="AE11" i="6"/>
  <c r="AF11" i="6"/>
  <c r="AG11" i="6"/>
  <c r="AH11" i="6"/>
  <c r="AI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R12" i="6"/>
  <c r="S12" i="6"/>
  <c r="T12" i="6"/>
  <c r="U12" i="6"/>
  <c r="V12" i="6"/>
  <c r="W12" i="6"/>
  <c r="X12" i="6"/>
  <c r="Y12" i="6"/>
  <c r="Z12" i="6"/>
  <c r="AB12" i="6"/>
  <c r="AC12" i="6"/>
  <c r="AD12" i="6"/>
  <c r="AE12" i="6"/>
  <c r="AF12" i="6"/>
  <c r="AG12" i="6"/>
  <c r="AH12" i="6"/>
  <c r="AI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R13" i="6"/>
  <c r="S13" i="6"/>
  <c r="T13" i="6"/>
  <c r="U13" i="6"/>
  <c r="V13" i="6"/>
  <c r="W13" i="6"/>
  <c r="X13" i="6"/>
  <c r="Y13" i="6"/>
  <c r="Z13" i="6"/>
  <c r="AB13" i="6"/>
  <c r="AC13" i="6"/>
  <c r="AD13" i="6"/>
  <c r="AE13" i="6"/>
  <c r="AF13" i="6"/>
  <c r="AG13" i="6"/>
  <c r="AH13" i="6"/>
  <c r="AI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R14" i="6"/>
  <c r="S14" i="6"/>
  <c r="T14" i="6"/>
  <c r="U14" i="6"/>
  <c r="V14" i="6"/>
  <c r="W14" i="6"/>
  <c r="X14" i="6"/>
  <c r="Y14" i="6"/>
  <c r="Z14" i="6"/>
  <c r="AB14" i="6"/>
  <c r="AC14" i="6"/>
  <c r="AD14" i="6"/>
  <c r="AE14" i="6"/>
  <c r="AF14" i="6"/>
  <c r="AG14" i="6"/>
  <c r="AH14" i="6"/>
  <c r="AI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R15" i="6"/>
  <c r="S15" i="6"/>
  <c r="T15" i="6"/>
  <c r="U15" i="6"/>
  <c r="V15" i="6"/>
  <c r="W15" i="6"/>
  <c r="X15" i="6"/>
  <c r="Y15" i="6"/>
  <c r="Z15" i="6"/>
  <c r="AB15" i="6"/>
  <c r="AC15" i="6"/>
  <c r="AD15" i="6"/>
  <c r="AE15" i="6"/>
  <c r="AF15" i="6"/>
  <c r="AG15" i="6"/>
  <c r="AH15" i="6"/>
  <c r="AI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R16" i="6"/>
  <c r="S16" i="6"/>
  <c r="T16" i="6"/>
  <c r="U16" i="6"/>
  <c r="V16" i="6"/>
  <c r="W16" i="6"/>
  <c r="X16" i="6"/>
  <c r="Y16" i="6"/>
  <c r="Z16" i="6"/>
  <c r="AB16" i="6"/>
  <c r="AC16" i="6"/>
  <c r="AD16" i="6"/>
  <c r="AE16" i="6"/>
  <c r="AF16" i="6"/>
  <c r="AG16" i="6"/>
  <c r="AH16" i="6"/>
  <c r="AI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R17" i="6"/>
  <c r="S17" i="6"/>
  <c r="T17" i="6"/>
  <c r="U17" i="6"/>
  <c r="V17" i="6"/>
  <c r="W17" i="6"/>
  <c r="X17" i="6"/>
  <c r="Y17" i="6"/>
  <c r="Z17" i="6"/>
  <c r="AB17" i="6"/>
  <c r="AC17" i="6"/>
  <c r="AD17" i="6"/>
  <c r="AE17" i="6"/>
  <c r="AF17" i="6"/>
  <c r="AG17" i="6"/>
  <c r="AH17" i="6"/>
  <c r="AI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R18" i="6"/>
  <c r="S18" i="6"/>
  <c r="T18" i="6"/>
  <c r="U18" i="6"/>
  <c r="V18" i="6"/>
  <c r="W18" i="6"/>
  <c r="X18" i="6"/>
  <c r="Y18" i="6"/>
  <c r="Z18" i="6"/>
  <c r="AB18" i="6"/>
  <c r="AC18" i="6"/>
  <c r="AD18" i="6"/>
  <c r="AE18" i="6"/>
  <c r="AF18" i="6"/>
  <c r="AG18" i="6"/>
  <c r="AH18" i="6"/>
  <c r="AI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R19" i="6"/>
  <c r="S19" i="6"/>
  <c r="T19" i="6"/>
  <c r="U19" i="6"/>
  <c r="V19" i="6"/>
  <c r="W19" i="6"/>
  <c r="X19" i="6"/>
  <c r="Y19" i="6"/>
  <c r="Z19" i="6"/>
  <c r="AB19" i="6"/>
  <c r="AC19" i="6"/>
  <c r="AD19" i="6"/>
  <c r="AE19" i="6"/>
  <c r="AF19" i="6"/>
  <c r="AG19" i="6"/>
  <c r="AH19" i="6"/>
  <c r="AI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R20" i="6"/>
  <c r="S20" i="6"/>
  <c r="T20" i="6"/>
  <c r="U20" i="6"/>
  <c r="V20" i="6"/>
  <c r="W20" i="6"/>
  <c r="X20" i="6"/>
  <c r="Y20" i="6"/>
  <c r="Z20" i="6"/>
  <c r="AB20" i="6"/>
  <c r="AC20" i="6"/>
  <c r="AD20" i="6"/>
  <c r="AE20" i="6"/>
  <c r="AF20" i="6"/>
  <c r="AG20" i="6"/>
  <c r="AH20" i="6"/>
  <c r="AI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R21" i="6"/>
  <c r="S21" i="6"/>
  <c r="T21" i="6"/>
  <c r="U21" i="6"/>
  <c r="V21" i="6"/>
  <c r="W21" i="6"/>
  <c r="X21" i="6"/>
  <c r="Y21" i="6"/>
  <c r="Z21" i="6"/>
  <c r="AB21" i="6"/>
  <c r="AC21" i="6"/>
  <c r="AD21" i="6"/>
  <c r="AE21" i="6"/>
  <c r="AF21" i="6"/>
  <c r="AG21" i="6"/>
  <c r="AH21" i="6"/>
  <c r="AI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R22" i="6"/>
  <c r="S22" i="6"/>
  <c r="T22" i="6"/>
  <c r="U22" i="6"/>
  <c r="V22" i="6"/>
  <c r="W22" i="6"/>
  <c r="X22" i="6"/>
  <c r="Y22" i="6"/>
  <c r="Z22" i="6"/>
  <c r="AB22" i="6"/>
  <c r="AC22" i="6"/>
  <c r="AD22" i="6"/>
  <c r="AE22" i="6"/>
  <c r="AF22" i="6"/>
  <c r="AG22" i="6"/>
  <c r="AH22" i="6"/>
  <c r="AI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R23" i="6"/>
  <c r="S23" i="6"/>
  <c r="T23" i="6"/>
  <c r="U23" i="6"/>
  <c r="V23" i="6"/>
  <c r="W23" i="6"/>
  <c r="X23" i="6"/>
  <c r="Y23" i="6"/>
  <c r="Z23" i="6"/>
  <c r="AB23" i="6"/>
  <c r="AC23" i="6"/>
  <c r="AD23" i="6"/>
  <c r="AE23" i="6"/>
  <c r="AF23" i="6"/>
  <c r="AG23" i="6"/>
  <c r="AH23" i="6"/>
  <c r="AI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R24" i="6"/>
  <c r="S24" i="6"/>
  <c r="T24" i="6"/>
  <c r="U24" i="6"/>
  <c r="V24" i="6"/>
  <c r="W24" i="6"/>
  <c r="X24" i="6"/>
  <c r="Y24" i="6"/>
  <c r="Z24" i="6"/>
  <c r="AB24" i="6"/>
  <c r="AC24" i="6"/>
  <c r="AD24" i="6"/>
  <c r="AE24" i="6"/>
  <c r="AF24" i="6"/>
  <c r="AG24" i="6"/>
  <c r="AH24" i="6"/>
  <c r="AI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R25" i="6"/>
  <c r="S25" i="6"/>
  <c r="T25" i="6"/>
  <c r="U25" i="6"/>
  <c r="V25" i="6"/>
  <c r="W25" i="6"/>
  <c r="X25" i="6"/>
  <c r="Y25" i="6"/>
  <c r="Z25" i="6"/>
  <c r="AB25" i="6"/>
  <c r="AC25" i="6"/>
  <c r="AD25" i="6"/>
  <c r="AE25" i="6"/>
  <c r="AF25" i="6"/>
  <c r="AG25" i="6"/>
  <c r="AH25" i="6"/>
  <c r="AI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R26" i="6"/>
  <c r="S26" i="6"/>
  <c r="T26" i="6"/>
  <c r="U26" i="6"/>
  <c r="V26" i="6"/>
  <c r="W26" i="6"/>
  <c r="X26" i="6"/>
  <c r="Y26" i="6"/>
  <c r="Z26" i="6"/>
  <c r="AB26" i="6"/>
  <c r="AC26" i="6"/>
  <c r="AD26" i="6"/>
  <c r="AE26" i="6"/>
  <c r="AF26" i="6"/>
  <c r="AG26" i="6"/>
  <c r="AH26" i="6"/>
  <c r="AI26" i="6"/>
  <c r="B26" i="6"/>
  <c r="B24" i="6"/>
  <c r="B25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AA32" i="6" l="1"/>
  <c r="Q32" i="6"/>
  <c r="E32" i="6"/>
  <c r="L32" i="6"/>
  <c r="C32" i="6"/>
  <c r="J32" i="6"/>
  <c r="AC32" i="6"/>
  <c r="Z32" i="6"/>
  <c r="I32" i="6"/>
  <c r="M32" i="6"/>
  <c r="K32" i="6"/>
  <c r="AH32" i="6"/>
  <c r="Y32" i="6"/>
  <c r="R32" i="6"/>
  <c r="X32" i="6"/>
  <c r="P32" i="6"/>
  <c r="T32" i="6"/>
  <c r="AF32" i="6"/>
  <c r="W32" i="6"/>
  <c r="O32" i="6"/>
  <c r="V32" i="6"/>
  <c r="N32" i="6"/>
  <c r="AE32" i="6"/>
  <c r="AG32" i="6"/>
  <c r="AB32" i="6"/>
  <c r="G32" i="6"/>
  <c r="AI32" i="6"/>
  <c r="S32" i="6"/>
  <c r="H32" i="6"/>
  <c r="F32" i="6"/>
  <c r="AD32" i="6"/>
  <c r="U32" i="6"/>
  <c r="B32" i="6"/>
  <c r="D32" i="6"/>
</calcChain>
</file>

<file path=xl/sharedStrings.xml><?xml version="1.0" encoding="utf-8"?>
<sst xmlns="http://schemas.openxmlformats.org/spreadsheetml/2006/main" count="3777" uniqueCount="2669">
  <si>
    <t>group</t>
  </si>
  <si>
    <t>Disease</t>
  </si>
  <si>
    <t>Signal Transduction</t>
  </si>
  <si>
    <t>Metabolism</t>
  </si>
  <si>
    <t>Immune System</t>
  </si>
  <si>
    <t>Cell Cycle</t>
  </si>
  <si>
    <t>Gene expression (Transcription)</t>
  </si>
  <si>
    <t>Metabolism of proteins</t>
  </si>
  <si>
    <t>Neuronal System</t>
  </si>
  <si>
    <t>Developmental Biology</t>
  </si>
  <si>
    <t>Transport of small molecules</t>
  </si>
  <si>
    <t>DNA Repair</t>
  </si>
  <si>
    <t>Cellular responses to stimuli</t>
  </si>
  <si>
    <t>Programmed Cell Death</t>
  </si>
  <si>
    <t>Hemostasis</t>
  </si>
  <si>
    <t>Vesicle-mediated transport</t>
  </si>
  <si>
    <t>Metabolism of RNA</t>
  </si>
  <si>
    <t>DNA Replication</t>
  </si>
  <si>
    <t>Sensory Perception</t>
  </si>
  <si>
    <t>Extracellular matrix organization</t>
  </si>
  <si>
    <t>Cell-Cell communication</t>
  </si>
  <si>
    <t>Organelle biogenesis and maintenance</t>
  </si>
  <si>
    <t>Autophagy</t>
  </si>
  <si>
    <t>Azathioprine ADME</t>
  </si>
  <si>
    <t>Muscle contraction</t>
  </si>
  <si>
    <t>Reproduction</t>
  </si>
  <si>
    <t>Chromatin organization</t>
  </si>
  <si>
    <t>Digestion and absorption</t>
  </si>
  <si>
    <t>Protein localization</t>
  </si>
  <si>
    <t>Circadian Clock</t>
  </si>
  <si>
    <t>count</t>
  </si>
  <si>
    <t>Back to main page</t>
  </si>
  <si>
    <t>Cardiac conduction</t>
  </si>
  <si>
    <t>Ion homeostasis</t>
  </si>
  <si>
    <t>Phase 0 - rapid depolarisation</t>
  </si>
  <si>
    <t>Phase 1 - inactivation of fast Na+ channels</t>
  </si>
  <si>
    <t>Phase 2 - plateau phase</t>
  </si>
  <si>
    <t>Phase 3 - rapid repolarisation</t>
  </si>
  <si>
    <t>Phase 4 - resting membrane potential</t>
  </si>
  <si>
    <t>Physiological factors</t>
  </si>
  <si>
    <t>Smooth Muscle Contraction</t>
  </si>
  <si>
    <t>Striated Muscle Contraction</t>
  </si>
  <si>
    <t>Abacavir ADME</t>
  </si>
  <si>
    <t>Abacavir metabolism</t>
  </si>
  <si>
    <t>Abacavir transmembrane transport</t>
  </si>
  <si>
    <t>Aspirin ADME</t>
  </si>
  <si>
    <t>Atorvastatin ADME</t>
  </si>
  <si>
    <t>Ciprofloxacin ADME</t>
  </si>
  <si>
    <t>Paracetamol ADME</t>
  </si>
  <si>
    <t>Prednisone ADME</t>
  </si>
  <si>
    <t>Ribavirin ADME</t>
  </si>
  <si>
    <t>Drug ADME</t>
  </si>
  <si>
    <t>Aggrephagy</t>
  </si>
  <si>
    <t>Chaperone Mediated Autophagy</t>
  </si>
  <si>
    <t>Late endosomal microautophagy</t>
  </si>
  <si>
    <t>Lipophagy</t>
  </si>
  <si>
    <t>Macroautophagy</t>
  </si>
  <si>
    <t>Mitophagy</t>
  </si>
  <si>
    <t>PINK1-PRKN Mediated Mitophagy</t>
  </si>
  <si>
    <t>Pexophagy</t>
  </si>
  <si>
    <t>Receptor Mediated Mitophagy</t>
  </si>
  <si>
    <t>Selective autophagy</t>
  </si>
  <si>
    <t>2-LTR circle formation</t>
  </si>
  <si>
    <t>ABC transporter disorders</t>
  </si>
  <si>
    <t>ADORA2B mediated anti-inflammatory cytokines production</t>
  </si>
  <si>
    <t>ALK mutants bind TKIs</t>
  </si>
  <si>
    <t>APC truncation mutants are not K63 polyubiquitinated</t>
  </si>
  <si>
    <t>APC truncation mutants have impaired AXIN binding</t>
  </si>
  <si>
    <t>APOBEC3G mediated resistance to HIV-1 infection</t>
  </si>
  <si>
    <t>ASP-3026-resistant ALK mutants</t>
  </si>
  <si>
    <t>AXIN missense mutants destabilize the destruction complex</t>
  </si>
  <si>
    <t>Aberrant regulation of mitotic G1/S transition in cancer due to RB1 defects</t>
  </si>
  <si>
    <t>Aberrant regulation of mitotic cell cycle due to RB1 defects</t>
  </si>
  <si>
    <t>Aberrant regulation of mitotic exit in cancer due to RB1 defects</t>
  </si>
  <si>
    <t>Abnormal conversion of 2-oxoglutarate to 2-hydroxyglutarate</t>
  </si>
  <si>
    <t>Abortive elongation of HIV-1 transcript in the absence of Tat</t>
  </si>
  <si>
    <t>Activated point mutants of FGFR2</t>
  </si>
  <si>
    <t>Alternative Lengthening of Telomeres (ALT)</t>
  </si>
  <si>
    <t>Anti-inflammatory response favouring Leishmania parasite infection</t>
  </si>
  <si>
    <t>Antimicrobial action and antimicrobial resistance in Mtb</t>
  </si>
  <si>
    <t>Assembly Of The HIV Virion</t>
  </si>
  <si>
    <t>Assembly of Viral Components at the Budding Site</t>
  </si>
  <si>
    <t>Assembly of the SARS-CoV-1 Replication-Transcription Complex (RTC)</t>
  </si>
  <si>
    <t>Assembly of the SARS-CoV-2 Replication-Transcription Complex (RTC)</t>
  </si>
  <si>
    <t>Attachment and Entry</t>
  </si>
  <si>
    <t>Autointegration results in viral DNA circles</t>
  </si>
  <si>
    <t>Bacterial Infection Pathways</t>
  </si>
  <si>
    <t>Binding and entry of HIV virion</t>
  </si>
  <si>
    <t>Biosynthesis of A2E, implicated in retinal degradation</t>
  </si>
  <si>
    <t>Blockage of phagosome acidification</t>
  </si>
  <si>
    <t>Budding</t>
  </si>
  <si>
    <t>Budding and maturation of HIV virion</t>
  </si>
  <si>
    <t>CD163 mediating an anti-inflammatory response</t>
  </si>
  <si>
    <t>Cell recruitment (pro-inflammatory response)</t>
  </si>
  <si>
    <t>Cell redox homeostasis</t>
  </si>
  <si>
    <t>Constitutive Signaling by AKT1 E17K in Cancer</t>
  </si>
  <si>
    <t>Constitutive Signaling by Aberrant PI3K in Cancer</t>
  </si>
  <si>
    <t>Constitutive Signaling by EGFRvIII</t>
  </si>
  <si>
    <t>Constitutive Signaling by Ligand-Responsive EGFR Cancer Variants</t>
  </si>
  <si>
    <t>Constitutive Signaling by NOTCH1 HD Domain Mutants</t>
  </si>
  <si>
    <t>Constitutive Signaling by NOTCH1 HD+PEST Domain Mutants</t>
  </si>
  <si>
    <t>Constitutive Signaling by NOTCH1 PEST Domain Mutants</t>
  </si>
  <si>
    <t>Constitutive Signaling by NOTCH1 t(7;9)(NOTCH1:M1580_K2555) Translocation Mutant</t>
  </si>
  <si>
    <t>Constitutive Signaling by Overexpressed ERBB2</t>
  </si>
  <si>
    <t>Dasatinib-resistant KIT mutants</t>
  </si>
  <si>
    <t>Defective ABCA1 causes TGD</t>
  </si>
  <si>
    <t>Defective ABCA12 causes ARCI4B</t>
  </si>
  <si>
    <t>Defective ABCA3 causes SMDP3</t>
  </si>
  <si>
    <t>Defective ABCB11 causes PFIC2 and BRIC2</t>
  </si>
  <si>
    <t>Defective ABCB4 causes PFIC3, ICP3 and GBD1</t>
  </si>
  <si>
    <t>Defective ABCB6 causes MCOPCB7</t>
  </si>
  <si>
    <t>Defective ABCC2 causes DJS</t>
  </si>
  <si>
    <t>Defective ABCC6 causes PXE</t>
  </si>
  <si>
    <t>Defective ABCC8 can cause hypo- and hyper-glycemias</t>
  </si>
  <si>
    <t>Defective ABCC9 causes CMD10, ATFB12 and Cantu syndrome</t>
  </si>
  <si>
    <t>Defective ABCD1 causes ALD</t>
  </si>
  <si>
    <t>Defective ABCD4 causes MAHCJ</t>
  </si>
  <si>
    <t>Defective ABCG5 causes sitosterolemia</t>
  </si>
  <si>
    <t>Defective ABCG8 causes GBD4 and sitosterolemia</t>
  </si>
  <si>
    <t>Defective ACTH causes obesity and POMCD</t>
  </si>
  <si>
    <t>Defective ACY1 causes encephalopathy</t>
  </si>
  <si>
    <t>Defective ADA disrupts (deoxy)adenosine deamination</t>
  </si>
  <si>
    <t>Defective AHCY causes HMAHCHD</t>
  </si>
  <si>
    <t>Defective ALG1 causes CDG-1k</t>
  </si>
  <si>
    <t>Defective ALG11 causes CDG-1p</t>
  </si>
  <si>
    <t>Defective ALG12 causes CDG-1g</t>
  </si>
  <si>
    <t>Defective ALG14 causes ALG14-CMS</t>
  </si>
  <si>
    <t>Defective ALG2 causes CDG-1i</t>
  </si>
  <si>
    <t>Defective ALG3 causes CDG-1d</t>
  </si>
  <si>
    <t>Defective ALG6 causes CDG-1c</t>
  </si>
  <si>
    <t>Defective ALG8 causes CDG-1h</t>
  </si>
  <si>
    <t>Defective ALG9 causes CDG-1l</t>
  </si>
  <si>
    <t>Defective AMN causes MGA1</t>
  </si>
  <si>
    <t>Defective APRT disrupts adenine salvage</t>
  </si>
  <si>
    <t>Defective AVP does not bind AVPR1A,B and causes neurohypophyseal diabetes insipidus (NDI)</t>
  </si>
  <si>
    <t>Defective AVP does not bind AVPR2 and causes neurohypophyseal diabetes insipidus (NDI)</t>
  </si>
  <si>
    <t>Defective B3GALT6 causes EDSP2 and SEMDJL1</t>
  </si>
  <si>
    <t>Defective B3GALTL causes PpS</t>
  </si>
  <si>
    <t>Defective B3GAT3 causes JDSSDHD</t>
  </si>
  <si>
    <t>Defective B4GALT1 causes B4GALT1-CDG (CDG-2d)</t>
  </si>
  <si>
    <t>Defective B4GALT1 causes CDG-2d</t>
  </si>
  <si>
    <t>Defective B4GALT7 causes EDS, progeroid type</t>
  </si>
  <si>
    <t>Defective BTD causes biotidinase deficiency</t>
  </si>
  <si>
    <t>Defective Base Excision Repair Associated with MUTYH</t>
  </si>
  <si>
    <t>Defective Base Excision Repair Associated with NEIL1</t>
  </si>
  <si>
    <t>Defective Base Excision Repair Associated with NEIL3</t>
  </si>
  <si>
    <t>Defective Base Excision Repair Associated with NTHL1</t>
  </si>
  <si>
    <t>Defective Base Excision Repair Associated with OGG1</t>
  </si>
  <si>
    <t>Defective C1GALT1C1 causes TNPS</t>
  </si>
  <si>
    <t>Defective CBLIF causes IFD</t>
  </si>
  <si>
    <t>Defective CD320 causes MMATC</t>
  </si>
  <si>
    <t>Defective CFTR causes cystic fibrosis</t>
  </si>
  <si>
    <t>Defective CHST14 causes EDS, musculocontractural type</t>
  </si>
  <si>
    <t>Defective CHST3 causes SEDCJD</t>
  </si>
  <si>
    <t>Defective CHST6 causes MCDC1</t>
  </si>
  <si>
    <t>Defective CHSY1 causes TPBS</t>
  </si>
  <si>
    <t>Defective CP causes aceruloplasminemia (ACERULOP)</t>
  </si>
  <si>
    <t>Defective CSF2RA causes SMDP4</t>
  </si>
  <si>
    <t>Defective CSF2RB causes SMDP5</t>
  </si>
  <si>
    <t>Defective CUBN causes MGA1</t>
  </si>
  <si>
    <t>Defective CYP11A1 causes AICSR</t>
  </si>
  <si>
    <t>Defective CYP11B1 causes AH4</t>
  </si>
  <si>
    <t>Defective CYP11B2 causes CMO-1 deficiency</t>
  </si>
  <si>
    <t>Defective CYP17A1 causes AH5</t>
  </si>
  <si>
    <t>Defective CYP19A1 causes AEXS</t>
  </si>
  <si>
    <t>Defective CYP1B1 causes Glaucoma</t>
  </si>
  <si>
    <t>Defective CYP21A2 causes AH3</t>
  </si>
  <si>
    <t>Defective CYP24A1 causes HCAI</t>
  </si>
  <si>
    <t>Defective CYP26B1 causes RHFCA</t>
  </si>
  <si>
    <t>Defective CYP26C1 causes FFDD4</t>
  </si>
  <si>
    <t>Defective CYP27A1 causes CTX</t>
  </si>
  <si>
    <t>Defective CYP27B1 causes VDDR1A</t>
  </si>
  <si>
    <t>Defective CYP27B1 causes VDDR1B</t>
  </si>
  <si>
    <t>Defective CYP2U1 causes SPG56</t>
  </si>
  <si>
    <t>Defective CYP4F22 causes ARCI5</t>
  </si>
  <si>
    <t>Defective CYP7B1 causes SPG5A and CBAS3</t>
  </si>
  <si>
    <t>Defective DHDDS causes RP59</t>
  </si>
  <si>
    <t>Defective DNA double strand break response due to BARD1 loss of function</t>
  </si>
  <si>
    <t>Defective DNA double strand break response due to BRCA1 loss of function</t>
  </si>
  <si>
    <t>Defective DOLK causes DOLK-CDG</t>
  </si>
  <si>
    <t>Defective DPAGT1 causes CDG-1j, CMSTA2</t>
  </si>
  <si>
    <t>Defective DPM1 causes DPM1-CDG</t>
  </si>
  <si>
    <t>Defective DPM2 causes DPM2-CDG</t>
  </si>
  <si>
    <t>Defective DPM3 causes DPM3-CDG</t>
  </si>
  <si>
    <t>Defective EXT1 causes exostoses 1, TRPS2 and CHDS</t>
  </si>
  <si>
    <t>Defective EXT2 causes exostoses 2</t>
  </si>
  <si>
    <t>Defective F8 accelerates dissociation of the A2 domain</t>
  </si>
  <si>
    <t>Defective F8 binding to the cell membrane</t>
  </si>
  <si>
    <t>Defective F8 binding to von Willebrand factor</t>
  </si>
  <si>
    <t>Defective F8 cleavage by thrombin</t>
  </si>
  <si>
    <t>Defective F8 secretion</t>
  </si>
  <si>
    <t>Defective F8 sulfation at Y1699</t>
  </si>
  <si>
    <t>Defective F9 activation</t>
  </si>
  <si>
    <t>Defective F9 secretion</t>
  </si>
  <si>
    <t>Defective F9 variant does not activate FX</t>
  </si>
  <si>
    <t>Defective FMO3 causes TMAU</t>
  </si>
  <si>
    <t>Defective GALE causes EDG</t>
  </si>
  <si>
    <t>Defective GALK1 causes GALCT2</t>
  </si>
  <si>
    <t>Defective GALNT12 causes CRCS1</t>
  </si>
  <si>
    <t>Defective GALNT3 causes HFTC</t>
  </si>
  <si>
    <t>Defective GALT can cause GALCT</t>
  </si>
  <si>
    <t>Defective GCK causes maturity-onset diabetes of the young 2 (MODY2)</t>
  </si>
  <si>
    <t>Defective GCLC causes HAGGSD</t>
  </si>
  <si>
    <t>Defective GFPT1 causes CMSTA1</t>
  </si>
  <si>
    <t>Defective GGT1 causes GLUTH</t>
  </si>
  <si>
    <t>Defective GGT1 in aflatoxin detoxification causes GLUTH</t>
  </si>
  <si>
    <t>Defective GNE causes sialuria, NK and IBM2</t>
  </si>
  <si>
    <t>Defective GSS causes GSS deficiency</t>
  </si>
  <si>
    <t>Defective HDR through Homologous Recombination Repair (HRR) due to PALB2 loss of BRCA1 binding function</t>
  </si>
  <si>
    <t>Defective HDR through Homologous Recombination Repair (HRR) due to PALB2 loss of BRCA2/RAD51/RAD51C binding function</t>
  </si>
  <si>
    <t>Defective HEXA causes GM2G1</t>
  </si>
  <si>
    <t>Defective HEXB causes GM2G2</t>
  </si>
  <si>
    <t>Defective HK1 causes hexokinase deficiency (HK deficiency)</t>
  </si>
  <si>
    <t>Defective HLCS causes multiple carboxylase deficiency</t>
  </si>
  <si>
    <t>Defective HPRT1 disrupts guanine and hypoxanthine salvage</t>
  </si>
  <si>
    <t>Defective Inhibition of DNA Recombination at Telomere</t>
  </si>
  <si>
    <t>Defective Inhibition of DNA Recombination at Telomere Due to ATRX Mutations</t>
  </si>
  <si>
    <t>Defective Inhibition of DNA Recombination at Telomere Due to DAXX Mutations</t>
  </si>
  <si>
    <t>Defective Intrinsic Pathway for Apoptosis</t>
  </si>
  <si>
    <t>Defective Intrinsic Pathway for Apoptosis Due to p14ARF Loss of Function</t>
  </si>
  <si>
    <t>Defective LARGE causes MDDGA6 and MDDGB6</t>
  </si>
  <si>
    <t>Defective LFNG causes SCDO3</t>
  </si>
  <si>
    <t>Defective MAN1B1 causes MRT15</t>
  </si>
  <si>
    <t>Defective MAOA causes BRUNS</t>
  </si>
  <si>
    <t>Defective MAT1A causes MATD</t>
  </si>
  <si>
    <t>Defective MGAT2 causes CDG-2a</t>
  </si>
  <si>
    <t>Defective MMAA causes MMA, cblA type</t>
  </si>
  <si>
    <t>Defective MMAB causes MMA, cblB type</t>
  </si>
  <si>
    <t>Defective MMACHC causes MAHCC</t>
  </si>
  <si>
    <t>Defective MMADHC causes MMAHCD</t>
  </si>
  <si>
    <t>Defective MOGS causes CDG-2b</t>
  </si>
  <si>
    <t>Defective MPDU1 causes CDG-1f</t>
  </si>
  <si>
    <t>Defective MPI causes MPI-CDG</t>
  </si>
  <si>
    <t>Defective MTR causes HMAG</t>
  </si>
  <si>
    <t>Defective MTRR causes HMAE</t>
  </si>
  <si>
    <t>Defective MUT causes MMAM</t>
  </si>
  <si>
    <t>Defective MUTYH substrate binding</t>
  </si>
  <si>
    <t>Defective MUTYH substrate processing</t>
  </si>
  <si>
    <t>Defective Mismatch Repair Associated With MLH1</t>
  </si>
  <si>
    <t>Defective Mismatch Repair Associated With MSH2</t>
  </si>
  <si>
    <t>Defective Mismatch Repair Associated With MSH3</t>
  </si>
  <si>
    <t>Defective Mismatch Repair Associated With MSH6</t>
  </si>
  <si>
    <t>Defective Mismatch Repair Associated With PMS2</t>
  </si>
  <si>
    <t>Defective NEU1 causes sialidosis</t>
  </si>
  <si>
    <t>Defective NTHL1 substrate binding</t>
  </si>
  <si>
    <t>Defective NTHL1 substrate processing</t>
  </si>
  <si>
    <t>Defective OGG1 Localization</t>
  </si>
  <si>
    <t>Defective OGG1 Substrate Binding</t>
  </si>
  <si>
    <t>Defective OGG1 Substrate Processing</t>
  </si>
  <si>
    <t>Defective OPLAH causes OPLAHD</t>
  </si>
  <si>
    <t>Defective PAPSS2 causes SEMD-PA</t>
  </si>
  <si>
    <t>Defective PGM1 causes PGM1-CDG</t>
  </si>
  <si>
    <t>Defective PMM2 causes PMM2-CDG</t>
  </si>
  <si>
    <t>Defective PNP disrupts phosphorolysis of (deoxy)guanosine and (deoxy)inosine</t>
  </si>
  <si>
    <t>Defective POMGNT1 causes MDDGA3, MDDGB3 and MDDGC3</t>
  </si>
  <si>
    <t>Defective POMT1 causes MDDGA1, MDDGB1 and MDDGC1</t>
  </si>
  <si>
    <t>Defective POMT2 causes MDDGA2, MDDGB2 and MDDGC2</t>
  </si>
  <si>
    <t>Defective RFT1 causes CDG-1n</t>
  </si>
  <si>
    <t>Defective RHAG causes regulator type Rh-null hemolytic anemia (RHN)</t>
  </si>
  <si>
    <t>Defective RIPK1-mediated regulated necrosis</t>
  </si>
  <si>
    <t>Defective SERPING1 causes hereditary angioedema</t>
  </si>
  <si>
    <t>Defective SFTPA2 causes IPF</t>
  </si>
  <si>
    <t>Defective SLC11A2 causes hypochromic microcytic anemia, with iron overload 1 (AHMIO1)</t>
  </si>
  <si>
    <t>Defective SLC12A1 causes Bartter syndrome 1 (BS1)</t>
  </si>
  <si>
    <t>Defective SLC12A3 causes Gitelman syndrome (GS)</t>
  </si>
  <si>
    <t>Defective SLC12A6 causes agenesis of the corpus callosum, with peripheral neuropathy (ACCPN)</t>
  </si>
  <si>
    <t>Defective SLC16A1 causes symptomatic deficiency in lactate transport (SDLT)</t>
  </si>
  <si>
    <t>Defective SLC17A5 causes Salla disease (SD) and ISSD</t>
  </si>
  <si>
    <t>Defective SLC17A8 causes autosomal dominant deafness 25 (DFNA25)</t>
  </si>
  <si>
    <t>Defective SLC1A1 is implicated in schizophrenia 18 (SCZD18) and dicarboxylic aminoaciduria (DCBXA)</t>
  </si>
  <si>
    <t>Defective SLC1A3 causes episodic ataxia 6 (EA6)</t>
  </si>
  <si>
    <t>Defective SLC20A2 causes idiopathic basal ganglia calcification 1 (IBGC1)</t>
  </si>
  <si>
    <t>Defective SLC22A12 causes renal hypouricemia 1 (RHUC1)</t>
  </si>
  <si>
    <t>Defective SLC22A18 causes lung cancer (LNCR) and embryonal rhabdomyosarcoma 1 (RMSE1)</t>
  </si>
  <si>
    <t>Defective SLC22A5 causes systemic primary carnitine deficiency (CDSP)</t>
  </si>
  <si>
    <t>Defective SLC24A1 causes congenital stationary night blindness 1D (CSNB1D)</t>
  </si>
  <si>
    <t>Defective SLC24A4 causes hypomineralized amelogenesis imperfecta (AI)</t>
  </si>
  <si>
    <t>Defective SLC24A5 causes oculocutaneous albinism 6 (OCA6)</t>
  </si>
  <si>
    <t>Defective SLC26A2 causes chondrodysplasias</t>
  </si>
  <si>
    <t>Defective SLC26A3 causes congenital secretory chloride diarrhea 1 (DIAR1)</t>
  </si>
  <si>
    <t>Defective SLC26A4 causes Pendred syndrome (PDS)</t>
  </si>
  <si>
    <t>Defective SLC27A4 causes ichthyosis prematurity syndrome (IPS)</t>
  </si>
  <si>
    <t>Defective SLC29A3 causes histiocytosis-lymphadenopathy plus syndrome (HLAS)</t>
  </si>
  <si>
    <t>Defective SLC2A1 causes GLUT1 deficiency syndrome 1 (GLUT1DS1)</t>
  </si>
  <si>
    <t>Defective SLC2A10 causes arterial tortuosity syndrome (ATS)</t>
  </si>
  <si>
    <t>Defective SLC2A2 causes Fanconi-Bickel syndrome (FBS)</t>
  </si>
  <si>
    <t>Defective SLC2A9 causes hypouricemia renal 2 (RHUC2)</t>
  </si>
  <si>
    <t>Defective SLC33A1 causes spastic paraplegia 42 (SPG42)</t>
  </si>
  <si>
    <t>Defective SLC34A1 causes hypophosphatemic nephrolithiasis/osteoporosis 1 (NPHLOP1)</t>
  </si>
  <si>
    <t>Defective SLC34A2 causes PALM</t>
  </si>
  <si>
    <t>Defective SLC34A2 causes pulmonary alveolar microlithiasis (PALM)</t>
  </si>
  <si>
    <t>Defective SLC34A3 causes Hereditary hypophosphatemic rickets with hypercalciuria (HHRH)</t>
  </si>
  <si>
    <t>Defective SLC35A1 causes congenital disorder of glycosylation 2F (CDG2F)</t>
  </si>
  <si>
    <t>Defective SLC35A2 causes congenital disorder of glycosylation 2M (CDG2M)</t>
  </si>
  <si>
    <t>Defective SLC35A3 causes arthrogryposis, mental retardation, and seizures (AMRS)</t>
  </si>
  <si>
    <t>Defective SLC35C1 causes congenital disorder of glycosylation 2C (CDG2C)</t>
  </si>
  <si>
    <t>Defective SLC35D1 causes SCHBCKD</t>
  </si>
  <si>
    <t>Defective SLC36A2 causes iminoglycinuria (IG) and hyperglycinuria (HG)</t>
  </si>
  <si>
    <t>Defective SLC39A4 causes acrodermatitis enteropathica, zinc-deficiency type (AEZ)</t>
  </si>
  <si>
    <t>Defective SLC3A1 causes cystinuria (CSNU)</t>
  </si>
  <si>
    <t>Defective SLC40A1 causes hemochromatosis 4 (HFE4) (duodenum)</t>
  </si>
  <si>
    <t>Defective SLC40A1 causes hemochromatosis 4 (HFE4) (macrophages)</t>
  </si>
  <si>
    <t>Defective SLC4A1 causes hereditary spherocytosis type 4 (HSP4),  distal renal tubular acidosis (dRTA) and dRTA with hemolytic anemia (dRTA-HA)</t>
  </si>
  <si>
    <t>Defective SLC4A4 causes renal tubular acidosis, proximal, with ocular abnormalities and mental retardation (pRTA-OA)</t>
  </si>
  <si>
    <t>Defective SLC5A1 causes congenital glucose/galactose malabsorption (GGM)</t>
  </si>
  <si>
    <t>Defective SLC5A2 causes renal glucosuria (GLYS1)</t>
  </si>
  <si>
    <t>Defective SLC5A5 causes thyroid dyshormonogenesis 1 (TDH1)</t>
  </si>
  <si>
    <t>Defective SLC5A7 causes distal hereditary motor neuronopathy 7A (HMN7A)</t>
  </si>
  <si>
    <t>Defective SLC6A18 may confer susceptibility to iminoglycinuria and/or hyperglycinuria</t>
  </si>
  <si>
    <t>Defective SLC6A19 causes Hartnup disorder (HND)</t>
  </si>
  <si>
    <t>Defective SLC6A2 causes orthostatic intolerance (OI)</t>
  </si>
  <si>
    <t>Defective SLC6A3 causes Parkinsonism-dystonia infantile (PKDYS)</t>
  </si>
  <si>
    <t>Defective SLC6A5 causes hyperekplexia 3 (HKPX3)</t>
  </si>
  <si>
    <t>Defective SLC7A7 causes lysinuric protein intolerance (LPI)</t>
  </si>
  <si>
    <t>Defective SLC7A9 causes cystinuria (CSNU)</t>
  </si>
  <si>
    <t>Defective SLC9A6 causes  X-linked, syndromic mental retardation,, Christianson type (MRXSCH)</t>
  </si>
  <si>
    <t>Defective SLC9A9 causes autism 16 (AUTS16)</t>
  </si>
  <si>
    <t>Defective SLCO1B1 causes hyperbilirubinemia, Rotor type (HBLRR)</t>
  </si>
  <si>
    <t>Defective SLCO1B3 causes hyperbilirubinemia, Rotor type (HBLRR)</t>
  </si>
  <si>
    <t>Defective SLCO2A1 causes primary, autosomal recessive hypertrophic osteoarthropathy 2 (PHOAR2)</t>
  </si>
  <si>
    <t>Defective SRD5A3 causes SRD5A3-CDG, KHRZ</t>
  </si>
  <si>
    <t>Defective ST3GAL3 causes MCT12 and EIEE15</t>
  </si>
  <si>
    <t>Defective TBXAS1 causes GHDD</t>
  </si>
  <si>
    <t>Defective TCN2 causes TCN2 deficiency</t>
  </si>
  <si>
    <t>Defective TPMT causes TPMT deficiency</t>
  </si>
  <si>
    <t>Defective TPR may confer susceptibility towards thyroid papillary carcinoma (TPC)</t>
  </si>
  <si>
    <t>Defective UGT1A1 causes hyperbilirubinemia</t>
  </si>
  <si>
    <t>Defective UGT1A4 causes hyperbilirubinemia</t>
  </si>
  <si>
    <t>Defective binding of RB1 mutants to E2F1,(E2F2, E2F3)</t>
  </si>
  <si>
    <t>Defective cofactor function of FVIIIa variant</t>
  </si>
  <si>
    <t>Defective factor IX causes hemophilia B</t>
  </si>
  <si>
    <t>Defective factor IX causes thrombophilia</t>
  </si>
  <si>
    <t>Defective factor VIII causes hemophilia A</t>
  </si>
  <si>
    <t>Defective factor XII causes hereditary angioedema</t>
  </si>
  <si>
    <t>Defective gamma-carboxylation of F9</t>
  </si>
  <si>
    <t>Defective homologous recombination repair (HRR) due to BRCA1 loss of function</t>
  </si>
  <si>
    <t>Defective homologous recombination repair (HRR) due to BRCA2 loss of function</t>
  </si>
  <si>
    <t>Defective homologous recombination repair (HRR) due to PALB2 loss of function</t>
  </si>
  <si>
    <t>Defective pro-SFTPB causes SMDP1 and RDS</t>
  </si>
  <si>
    <t>Defective pro-SFTPC causes SMDP2 and RDS</t>
  </si>
  <si>
    <t>Defective pyroptosis</t>
  </si>
  <si>
    <t>Defective translocation of RB1 mutants to the nucleus</t>
  </si>
  <si>
    <t>Defects in biotin (Btn) metabolism</t>
  </si>
  <si>
    <t>Defects in cobalamin (B12) metabolism</t>
  </si>
  <si>
    <t>Defects in vitamin and cofactor metabolism</t>
  </si>
  <si>
    <t>Defects of contact activation system (CAS) and kallikrein/kinin system (KKS)</t>
  </si>
  <si>
    <t>Deletions in the AMER1 gene destabilize the destruction complex</t>
  </si>
  <si>
    <t>Deletions in the AXIN1 gene destabilize the destruction complex</t>
  </si>
  <si>
    <t>HIV Infection</t>
  </si>
  <si>
    <t>HIV Life Cycle</t>
  </si>
  <si>
    <t>HIV Transcription Elongation</t>
  </si>
  <si>
    <t>HIV Transcription Initiation</t>
  </si>
  <si>
    <t>HIV elongation arrest and recovery</t>
  </si>
  <si>
    <t>Hereditary fructose intolerance</t>
  </si>
  <si>
    <t>Hh mutants abrogate ligand secretion</t>
  </si>
  <si>
    <t>Hh mutants are degraded by ERAD</t>
  </si>
  <si>
    <t>Host Interactions of HIV factors</t>
  </si>
  <si>
    <t>IKBKB deficiency causes SCID</t>
  </si>
  <si>
    <t>IKBKG deficiency causes anhidrotic ectodermal dysplasia with immunodeficiency (EDA-ID) (via TLR)</t>
  </si>
  <si>
    <t>IRAK4 deficiency (TLR2/4)</t>
  </si>
  <si>
    <t>IRAK4 deficiency (TLR5)</t>
  </si>
  <si>
    <t>IkBA variant leads to EDA-ID</t>
  </si>
  <si>
    <t>Imatinib-resistant KIT mutants</t>
  </si>
  <si>
    <t>Imatinib-resistant PDGFR mutants</t>
  </si>
  <si>
    <t>Impaired BRCA2 binding to PALB2</t>
  </si>
  <si>
    <t>Impaired BRCA2 binding to RAD51</t>
  </si>
  <si>
    <t>Impaired BRCA2 binding to SEM1 (DSS1)</t>
  </si>
  <si>
    <t>Impaired BRCA2 translocation to the nucleus</t>
  </si>
  <si>
    <t>Induction of Cell-Cell Fusion</t>
  </si>
  <si>
    <t>Infection with Mycobacterium tuberculosis</t>
  </si>
  <si>
    <t>Infectious disease</t>
  </si>
  <si>
    <t>Influenza Infection</t>
  </si>
  <si>
    <t>Influenza Viral RNA Transcription and Replication</t>
  </si>
  <si>
    <t>Influenza Virus Induced Apoptosis</t>
  </si>
  <si>
    <t>Inhibition of Host mRNA Processing and RNA Silencing</t>
  </si>
  <si>
    <t>Inhibition of IFN-beta</t>
  </si>
  <si>
    <t>Inhibition of Interferon Synthesis</t>
  </si>
  <si>
    <t>Inhibition of PKR</t>
  </si>
  <si>
    <t>Inhibition of Signaling by Overexpressed EGFR</t>
  </si>
  <si>
    <t>Inhibition of membrane repair</t>
  </si>
  <si>
    <t>Inhibition of nitric oxide production</t>
  </si>
  <si>
    <t>InlA-mediated entry of Listeria monocytogenes into host cells</t>
  </si>
  <si>
    <t>InlB-mediated entry of Listeria monocytogenes into host cell</t>
  </si>
  <si>
    <t>Integration of provirus</t>
  </si>
  <si>
    <t>Integration of viral DNA into host genomic DNA</t>
  </si>
  <si>
    <t>Interactions of Rev with host cellular proteins</t>
  </si>
  <si>
    <t>Interactions of Tat with host cellular proteins</t>
  </si>
  <si>
    <t>Interactions of Vpr with host cellular proteins</t>
  </si>
  <si>
    <t>Intestinal infectious diseases</t>
  </si>
  <si>
    <t>Intestinal saccharidase deficiencies</t>
  </si>
  <si>
    <t>KIT mutants bind TKIs</t>
  </si>
  <si>
    <t>KW2449-resistant FLT3 mutants</t>
  </si>
  <si>
    <t>Killing mechanisms</t>
  </si>
  <si>
    <t>LGK974 inhibits PORCN</t>
  </si>
  <si>
    <t>LTC4-CYSLTR mediated IL4 production</t>
  </si>
  <si>
    <t>Late Phase of HIV Life Cycle</t>
  </si>
  <si>
    <t>Late SARS-CoV-2 Infection Events</t>
  </si>
  <si>
    <t>Latent infection - Other responses of Mtb to phagocytosis</t>
  </si>
  <si>
    <t>Leishmania infection</t>
  </si>
  <si>
    <t>Leishmania parasite growth and survival</t>
  </si>
  <si>
    <t>Leishmania phagocytosis</t>
  </si>
  <si>
    <t>Listeria monocytogenes entry into host cells</t>
  </si>
  <si>
    <t>Loss of Function of FBXW7 in Cancer and NOTCH1 Signaling</t>
  </si>
  <si>
    <t>Loss of Function of SMAD2/3 in Cancer</t>
  </si>
  <si>
    <t>Loss of Function of SMAD4 in Cancer</t>
  </si>
  <si>
    <t>Loss of Function of TGFBR1 in Cancer</t>
  </si>
  <si>
    <t>Loss of Function of TGFBR2 in Cancer</t>
  </si>
  <si>
    <t>Loss of Function of TP53 in Cancer</t>
  </si>
  <si>
    <t>Loss of MECP2 binding ability to 5hmC-DNA</t>
  </si>
  <si>
    <t>Loss of MECP2 binding ability to 5mC-DNA</t>
  </si>
  <si>
    <t>Loss of MECP2 binding ability to the NCoR/SMRT complex</t>
  </si>
  <si>
    <t>Loss of function of MECP2 in Rett syndrome</t>
  </si>
  <si>
    <t>Loss of function of TP53 in cancer due to loss of tetramerization ability</t>
  </si>
  <si>
    <t>Loss of phosphorylation of MECP2 at T308</t>
  </si>
  <si>
    <t>MPS I - Hurler syndrome</t>
  </si>
  <si>
    <t>MPS II - Hunter syndrome</t>
  </si>
  <si>
    <t>MPS IIIA - Sanfilippo syndrome A</t>
  </si>
  <si>
    <t>MPS IIIB - Sanfilippo syndrome B</t>
  </si>
  <si>
    <t>MPS IIIC - Sanfilippo syndrome C</t>
  </si>
  <si>
    <t>MPS IIID - Sanfilippo syndrome D</t>
  </si>
  <si>
    <t>MPS IV - Morquio syndrome A</t>
  </si>
  <si>
    <t>MPS IV - Morquio syndrome B</t>
  </si>
  <si>
    <t>MPS IX - Natowicz syndrome</t>
  </si>
  <si>
    <t>MPS VI - Maroteaux-Lamy syndrome</t>
  </si>
  <si>
    <t>MPS VII - Sly syndrome</t>
  </si>
  <si>
    <t>Manipulation of host energy metabolism</t>
  </si>
  <si>
    <t>Masitinib-resistant KIT mutants</t>
  </si>
  <si>
    <t>Maturation of nucleoprotein</t>
  </si>
  <si>
    <t>Maturation of protein 3a</t>
  </si>
  <si>
    <t>Maturation of protein E</t>
  </si>
  <si>
    <t>Maturation of protein M</t>
  </si>
  <si>
    <t>Maturation of replicase proteins</t>
  </si>
  <si>
    <t>Maturation of spike protein</t>
  </si>
  <si>
    <t>Membrane binding and targetting of GAG proteins</t>
  </si>
  <si>
    <t>Metabolic disorders of biological oxidation enzymes</t>
  </si>
  <si>
    <t>Microbial modulation of RIPK1-mediated regulated necrosis</t>
  </si>
  <si>
    <t>Minus-strand DNA synthesis</t>
  </si>
  <si>
    <t>Modulation by Mtb of host immune system</t>
  </si>
  <si>
    <t>Mtb iron assimilation by chelation</t>
  </si>
  <si>
    <t>Mucopolysaccharidoses</t>
  </si>
  <si>
    <t>MyD88 deficiency (TLR2/4)</t>
  </si>
  <si>
    <t>MyD88 deficiency (TLR5)</t>
  </si>
  <si>
    <t>Myoclonic epilepsy of Lafora</t>
  </si>
  <si>
    <t>NEP/NS2 Interacts with the Cellular Export Machinery</t>
  </si>
  <si>
    <t>NS1 Mediated Effects on Host Pathways</t>
  </si>
  <si>
    <t>NVP-TAE684-resistant ALK mutants</t>
  </si>
  <si>
    <t>Nef Mediated CD4 Down-regulation</t>
  </si>
  <si>
    <t>Nef Mediated CD8 Down-regulation</t>
  </si>
  <si>
    <t>Nef and signal transduction</t>
  </si>
  <si>
    <t>Nef mediated downregulation of CD28 cell surface expression</t>
  </si>
  <si>
    <t>Nef mediated downregulation of MHC class I complex cell surface expression</t>
  </si>
  <si>
    <t>Nef-mediates down modulation of cell surface receptors by recruiting them to clathrin adapters</t>
  </si>
  <si>
    <t>Neurodegenerative Diseases</t>
  </si>
  <si>
    <t>Neurotoxicity of clostridium toxins</t>
  </si>
  <si>
    <t>Nilotinib-resistant KIT mutants</t>
  </si>
  <si>
    <t>Nuclear events stimulated by ALK signaling in cancer</t>
  </si>
  <si>
    <t>Nuclear import of Rev protein</t>
  </si>
  <si>
    <t>Nucleotide catabolism defects</t>
  </si>
  <si>
    <t>Nucleotide salvage defects</t>
  </si>
  <si>
    <t>Oncogenic MAPK signaling</t>
  </si>
  <si>
    <t>PDGFR mutants bind TKIs</t>
  </si>
  <si>
    <t>PI3K/AKT Signaling in Cancer</t>
  </si>
  <si>
    <t>PTEN Loss of Function in Cancer</t>
  </si>
  <si>
    <t>Packaging of Eight RNA Segments</t>
  </si>
  <si>
    <t>Paradoxical activation of RAF signaling by kinase inactive BRAF</t>
  </si>
  <si>
    <t>Parasite infection</t>
  </si>
  <si>
    <t>Parasitic Infection Pathways</t>
  </si>
  <si>
    <t>Pausing and recovery of HIV elongation</t>
  </si>
  <si>
    <t>Pausing and recovery of Tat-mediated HIV elongation</t>
  </si>
  <si>
    <t>Pentose phosphate pathway disease</t>
  </si>
  <si>
    <t>Pervasive developmental disorders</t>
  </si>
  <si>
    <t>Phagocyte cell death caused by cytosolic Mtb</t>
  </si>
  <si>
    <t>Phenylketonuria</t>
  </si>
  <si>
    <t>Plus-strand DNA synthesis</t>
  </si>
  <si>
    <t>Potential therapeutics for SARS</t>
  </si>
  <si>
    <t>Prevention of phagosomal-lysosomal fusion</t>
  </si>
  <si>
    <t>Purinergic signaling in leishmaniasis infection</t>
  </si>
  <si>
    <t>RAS GTPase cycle mutants</t>
  </si>
  <si>
    <t>RAS signaling downstream of NF1 loss-of-function variants</t>
  </si>
  <si>
    <t>RNA Pol II CTD phosphorylation and interaction with CE during HIV infection</t>
  </si>
  <si>
    <t>RNA Polymerase II HIV Promoter Escape</t>
  </si>
  <si>
    <t>RPIA deficiency: failed conversion of R5P to RU5P</t>
  </si>
  <si>
    <t>RPIA deficiency: failed conversion of RU5P to R5P</t>
  </si>
  <si>
    <t>Regorafenib-resistant KIT mutants</t>
  </si>
  <si>
    <t>Regorafenib-resistant PDGFR mutants</t>
  </si>
  <si>
    <t>Release</t>
  </si>
  <si>
    <t>Replication of the SARS-CoV-1 genome</t>
  </si>
  <si>
    <t>Replication of the SARS-CoV-2 genome</t>
  </si>
  <si>
    <t>Resistance of ERBB2 KD mutants to AEE788</t>
  </si>
  <si>
    <t>Resistance of ERBB2 KD mutants to afatinib</t>
  </si>
  <si>
    <t>Resistance of ERBB2 KD mutants to lapatinib</t>
  </si>
  <si>
    <t>Resistance of ERBB2 KD mutants to neratinib</t>
  </si>
  <si>
    <t>Resistance of ERBB2 KD mutants to osimertinib</t>
  </si>
  <si>
    <t>Resistance of ERBB2 KD mutants to sapitinib</t>
  </si>
  <si>
    <t>Resistance of ERBB2 KD mutants to tesevatinib</t>
  </si>
  <si>
    <t>Resistance of ERBB2 KD mutants to trastuzumab</t>
  </si>
  <si>
    <t>Response of Mtb to phagocytosis</t>
  </si>
  <si>
    <t>Retinoid cycle disease events</t>
  </si>
  <si>
    <t>Retinoid metabolism disease events</t>
  </si>
  <si>
    <t>Rev-mediated nuclear export of HIV RNA</t>
  </si>
  <si>
    <t>Reverse Transcription of HIV RNA</t>
  </si>
  <si>
    <t>SARS-CoV Infections</t>
  </si>
  <si>
    <t>SARS-CoV-1 Genome Replication and Transcription</t>
  </si>
  <si>
    <t>SARS-CoV-1 Infection</t>
  </si>
  <si>
    <t>SARS-CoV-1 activates/modulates innate immune responses</t>
  </si>
  <si>
    <t>SARS-CoV-1 modulates host translation machinery</t>
  </si>
  <si>
    <t>SARS-CoV-1 targets PDZ proteins in cell-cell junction</t>
  </si>
  <si>
    <t>SARS-CoV-1 targets host intracellular signalling and regulatory pathways</t>
  </si>
  <si>
    <t>SARS-CoV-1-host interactions</t>
  </si>
  <si>
    <t>SARS-CoV-1-mediated effects on programmed cell death</t>
  </si>
  <si>
    <t>SARS-CoV-2 Genome Replication and Transcription</t>
  </si>
  <si>
    <t>SARS-CoV-2 Infection</t>
  </si>
  <si>
    <t>SARS-CoV-2 activates/modulates innate and adaptive immune responses</t>
  </si>
  <si>
    <t>SARS-CoV-2 modulates autophagy</t>
  </si>
  <si>
    <t>SARS-CoV-2 modulates host translation machinery</t>
  </si>
  <si>
    <t>SARS-CoV-2 targets PDZ proteins in cell-cell junction</t>
  </si>
  <si>
    <t>SARS-CoV-2 targets host intracellular signalling and regulatory pathways</t>
  </si>
  <si>
    <t>SARS-CoV-2-host interactions</t>
  </si>
  <si>
    <t>SHOC2 M1731 mutant abolishes MRAS complex function</t>
  </si>
  <si>
    <t>SLC transporter disorders</t>
  </si>
  <si>
    <t>SMAD2/3 MH2 Domain Mutants in Cancer</t>
  </si>
  <si>
    <t>SMAD2/3 Phosphorylation Motif Mutants in Cancer</t>
  </si>
  <si>
    <t>SMAD4 MH2 Domain Mutants in Cancer</t>
  </si>
  <si>
    <t>STAT5 activation downstream of FLT3 ITD mutants</t>
  </si>
  <si>
    <t>Severe congenital neutropenia type 4 (G6PC3)</t>
  </si>
  <si>
    <t>Signaling by ALK fusions and activated point mutants</t>
  </si>
  <si>
    <t>Signaling by ALK in cancer</t>
  </si>
  <si>
    <t>Signaling by AMER1 mutants</t>
  </si>
  <si>
    <t>Signaling by APC mutants</t>
  </si>
  <si>
    <t>Signaling by AXIN mutants</t>
  </si>
  <si>
    <t>Signaling by BRAF and RAF1 fusions</t>
  </si>
  <si>
    <t>Signaling by CTNNB1 phospho-site mutants</t>
  </si>
  <si>
    <t>Signaling by EGFR in Cancer</t>
  </si>
  <si>
    <t>Signaling by EGFRvIII in Cancer</t>
  </si>
  <si>
    <t>Signaling by ERBB2 ECD mutants</t>
  </si>
  <si>
    <t>Signaling by ERBB2 KD Mutants</t>
  </si>
  <si>
    <t>Signaling by ERBB2 TMD/JMD mutants</t>
  </si>
  <si>
    <t>Signaling by ERBB2 in Cancer</t>
  </si>
  <si>
    <t>Signaling by FGFR in disease</t>
  </si>
  <si>
    <t>Signaling by FGFR1 amplification mutants</t>
  </si>
  <si>
    <t>Signaling by FGFR1 in disease</t>
  </si>
  <si>
    <t>Signaling by FGFR2 IIIa TM</t>
  </si>
  <si>
    <t>Signaling by FGFR2 amplification mutants</t>
  </si>
  <si>
    <t>Signaling by FGFR2 fusions</t>
  </si>
  <si>
    <t>Signaling by FGFR2 in disease</t>
  </si>
  <si>
    <t>Signaling by FGFR3 fusions in cancer</t>
  </si>
  <si>
    <t>Signaling by FGFR3 in disease</t>
  </si>
  <si>
    <t>Signaling by FGFR4 in disease</t>
  </si>
  <si>
    <t>Signaling by FLT3 ITD and TKD mutants</t>
  </si>
  <si>
    <t>Signaling by FLT3 fusion proteins</t>
  </si>
  <si>
    <t>Signaling by GSK3beta mutants</t>
  </si>
  <si>
    <t>Signaling by KIT in disease</t>
  </si>
  <si>
    <t xml:space="preserve">Signaling by LRP5 mutants </t>
  </si>
  <si>
    <t>Signaling by Ligand-Responsive EGFR Variants in Cancer</t>
  </si>
  <si>
    <t>Signaling by MAP2K mutants</t>
  </si>
  <si>
    <t>Signaling by MAPK mutants</t>
  </si>
  <si>
    <t>Signaling by MRAS-complex mutants</t>
  </si>
  <si>
    <t>Signaling by NOTCH1 HD Domain Mutants in Cancer</t>
  </si>
  <si>
    <t>Signaling by NOTCH1 HD+PEST Domain Mutants in Cancer</t>
  </si>
  <si>
    <t>Signaling by NOTCH1 PEST Domain Mutants in Cancer</t>
  </si>
  <si>
    <t>Signaling by NOTCH1 in Cancer</t>
  </si>
  <si>
    <t>Signaling by NOTCH1 t(7;9)(NOTCH1:M1580_K2555) Translocation Mutant</t>
  </si>
  <si>
    <t>Signaling by Overexpressed Wild-Type EGFR in Cancer</t>
  </si>
  <si>
    <t>Signaling by PDGFR in disease</t>
  </si>
  <si>
    <t>Signaling by PDGFRA extracellular domain mutants</t>
  </si>
  <si>
    <t>Signaling by PDGFRA transmembrane, juxtamembrane and kinase domain mutants</t>
  </si>
  <si>
    <t>Signaling by RAF1 mutants</t>
  </si>
  <si>
    <t>Signaling by RAS GAP mutants</t>
  </si>
  <si>
    <t>Signaling by RAS GTPase mutants</t>
  </si>
  <si>
    <t>Signaling by RAS mutants</t>
  </si>
  <si>
    <t>Signaling by RNF43 mutants</t>
  </si>
  <si>
    <t>Signaling by TCF7L2 mutants</t>
  </si>
  <si>
    <t>Signaling by TGF-beta Receptor Complex in Cancer</t>
  </si>
  <si>
    <t>Signaling by WNT in cancer</t>
  </si>
  <si>
    <t>Signaling by activated point mutants of FGFR1</t>
  </si>
  <si>
    <t>Signaling by activated point mutants of FGFR3</t>
  </si>
  <si>
    <t>Signaling by cytosolic FGFR1 fusion mutants</t>
  </si>
  <si>
    <t>Signaling by cytosolic PDGFRA and PDGFRB fusion proteins</t>
  </si>
  <si>
    <t>Signaling by extracellular domain mutants of KIT</t>
  </si>
  <si>
    <t>Signaling by high-kinase activity BRAF mutants</t>
  </si>
  <si>
    <t>Signaling by juxtamembrane domain KIT mutants</t>
  </si>
  <si>
    <t>Signaling by kinase domain mutants of KIT</t>
  </si>
  <si>
    <t>Signaling by membrane-tethered fusions of PDGFRA or PDGFRB</t>
  </si>
  <si>
    <t>Signaling by moderate kinase activity BRAF mutants</t>
  </si>
  <si>
    <t>Signaling by phosphorylated juxtamembrane, extracellular and kinase domain KIT mutants</t>
  </si>
  <si>
    <t>Signaling by plasma membrane FGFR1 fusions</t>
  </si>
  <si>
    <t>Signaling downstream of RAS mutants</t>
  </si>
  <si>
    <t>Sorafenib-resistant KIT mutants</t>
  </si>
  <si>
    <t>Sorafenib-resistant PDGFR mutants</t>
  </si>
  <si>
    <t>Sunitinib-resistant KIT mutants</t>
  </si>
  <si>
    <t>Sunitinib-resistant PDGFR mutants</t>
  </si>
  <si>
    <t>Suppression of apoptosis</t>
  </si>
  <si>
    <t>Suppression of autophagy</t>
  </si>
  <si>
    <t>Suppression of phagosomal maturation</t>
  </si>
  <si>
    <t>Synthesis And Processing Of GAG, GAGPOL Polyproteins</t>
  </si>
  <si>
    <t>Synthesis and processing of ENV and VPU</t>
  </si>
  <si>
    <t>TALDO1 deficiency: failed conversion of  Fru(6)P, E4P to SH7P, GA3P</t>
  </si>
  <si>
    <t>TALDO1 deficiency: failed conversion of SH7P, GA3P to Fru(6)P, E4P</t>
  </si>
  <si>
    <t>TGFBR1 KD Mutants in Cancer</t>
  </si>
  <si>
    <t>TGFBR1 LBD Mutants in Cancer</t>
  </si>
  <si>
    <t>TGFBR2 Kinase Domain Mutants in Cancer</t>
  </si>
  <si>
    <t>TGFBR2 MSI Frameshift Mutants in Cancer</t>
  </si>
  <si>
    <t>TICAM1 deficiency - HSE</t>
  </si>
  <si>
    <t>TLR3 deficiency - HSE</t>
  </si>
  <si>
    <t>TRAF3 deficiency - HSE</t>
  </si>
  <si>
    <t>Tat-mediated HIV elongation arrest and recovery</t>
  </si>
  <si>
    <t>Tat-mediated elongation of the HIV-1 transcript</t>
  </si>
  <si>
    <t>The role of Nef in HIV-1 replication and disease pathogenesis</t>
  </si>
  <si>
    <t>Tolerance by Mtb to nitric oxide produced by macrophages</t>
  </si>
  <si>
    <t>Tolerance of reactive oxygen produced by macrophages</t>
  </si>
  <si>
    <t>Toxicity of botulinum toxin type A (botA)</t>
  </si>
  <si>
    <t>Toxicity of botulinum toxin type B (botB)</t>
  </si>
  <si>
    <t>Toxicity of botulinum toxin type C (botC)</t>
  </si>
  <si>
    <t>Toxicity of botulinum toxin type D (botD)</t>
  </si>
  <si>
    <t>Toxicity of botulinum toxin type E (botE)</t>
  </si>
  <si>
    <t>Toxicity of botulinum toxin type F (botF)</t>
  </si>
  <si>
    <t>Toxicity of botulinum toxin type G (botG)</t>
  </si>
  <si>
    <t>Toxicity of tetanus toxin (tetX)</t>
  </si>
  <si>
    <t>Transcription of SARS-CoV-1 sgRNAs</t>
  </si>
  <si>
    <t>Transcription of SARS-CoV-2 sgRNAs</t>
  </si>
  <si>
    <t>Transcription of the HIV genome</t>
  </si>
  <si>
    <t>Translation of Accessory Proteins</t>
  </si>
  <si>
    <t>Translation of Replicase and Assembly of the Replication Transcription Complex</t>
  </si>
  <si>
    <t>Translation of Structural Proteins</t>
  </si>
  <si>
    <t>Transport of HA trimer, NA tetramer and M2 tetramer from the endoplasmic reticulum to the Golgi Apparatus</t>
  </si>
  <si>
    <t>Transport of Ribonucleoproteins into the Host Nucleus</t>
  </si>
  <si>
    <t>Truncations of AMER1 destabilize the destruction complex</t>
  </si>
  <si>
    <t>UNC93B1 deficiency - HSE</t>
  </si>
  <si>
    <t>Uncoating of the HIV Virion</t>
  </si>
  <si>
    <t>Uncoating of the Influenza Virion</t>
  </si>
  <si>
    <t>Uptake and actions of bacterial toxins</t>
  </si>
  <si>
    <t>Uptake and function of anthrax toxins</t>
  </si>
  <si>
    <t>Uptake and function of diphtheria toxin</t>
  </si>
  <si>
    <t>Variant SLC6A14 may confer susceptibility towards obesity</t>
  </si>
  <si>
    <t>Variant SLC6A20 contributes towards hyperglycinuria (HG) and iminoglycinuria (IG)</t>
  </si>
  <si>
    <t>Vif-mediated degradation of APOBEC3G</t>
  </si>
  <si>
    <t>Viral Infection Pathways</t>
  </si>
  <si>
    <t>Viral Messenger RNA Synthesis</t>
  </si>
  <si>
    <t>Viral RNP Complexes in the Host Cell Nucleus</t>
  </si>
  <si>
    <t>Viral mRNA Translation</t>
  </si>
  <si>
    <t>Virion Assembly and Release</t>
  </si>
  <si>
    <t>Virus Assembly and Release</t>
  </si>
  <si>
    <t>Vpr-mediated induction of apoptosis by mitochondrial outer membrane permeabilization</t>
  </si>
  <si>
    <t>Vpr-mediated nuclear import of PICs</t>
  </si>
  <si>
    <t>Vpu mediated degradation of CD4</t>
  </si>
  <si>
    <t>WNT5:FZD7-mediated leishmania damping</t>
  </si>
  <si>
    <t>XAV939 stabilizes AXIN</t>
  </si>
  <si>
    <t>alectinib-resistant ALK mutants</t>
  </si>
  <si>
    <t>brigatinib-resistant ALK mutants</t>
  </si>
  <si>
    <t>cRNA Synthesis</t>
  </si>
  <si>
    <t>ceritinib-resistant ALK mutants</t>
  </si>
  <si>
    <t>crenolanib-resistant FLT3 mutants</t>
  </si>
  <si>
    <t>crizotinib-resistant ALK mutants</t>
  </si>
  <si>
    <t>gilteritinib-resistant FLT3 mutants</t>
  </si>
  <si>
    <t>lestaurtinib-resistant FLT3 mutants</t>
  </si>
  <si>
    <t>linifanib-resistant FLT3 mutants</t>
  </si>
  <si>
    <t>lorlatinib-resistant ALK mutants</t>
  </si>
  <si>
    <t>Diseases associated with N-glycosylation of proteins</t>
  </si>
  <si>
    <t>Diseases associated with O-glycosylation of proteins</t>
  </si>
  <si>
    <t>Diseases associated with glycosaminoglycan metabolism</t>
  </si>
  <si>
    <t>Diseases associated with glycosylation precursor biosynthesis</t>
  </si>
  <si>
    <t>Diseases associated with surfactant metabolism</t>
  </si>
  <si>
    <t>Diseases associated with the TLR signaling cascade</t>
  </si>
  <si>
    <t>Diseases associated with visual transduction</t>
  </si>
  <si>
    <t>Diseases of Base Excision Repair</t>
  </si>
  <si>
    <t>Diseases of Cellular Senescence</t>
  </si>
  <si>
    <t>Diseases of DNA Double-Strand Break Repair</t>
  </si>
  <si>
    <t>Diseases of DNA repair</t>
  </si>
  <si>
    <t>Diseases of Immune System</t>
  </si>
  <si>
    <t>Diseases of Mismatch Repair (MMR)</t>
  </si>
  <si>
    <t>Diseases of Telomere Maintenance</t>
  </si>
  <si>
    <t>Diseases of carbohydrate metabolism</t>
  </si>
  <si>
    <t>Diseases of cellular response to stress</t>
  </si>
  <si>
    <t>Diseases of glycosylation</t>
  </si>
  <si>
    <t>Diseases of hemostasis</t>
  </si>
  <si>
    <t>Diseases of metabolism</t>
  </si>
  <si>
    <t>Diseases of mitochondrial beta oxidation</t>
  </si>
  <si>
    <t>Diseases of mitotic cell cycle</t>
  </si>
  <si>
    <t>Diseases of nucleotide metabolism</t>
  </si>
  <si>
    <t>Diseases of programmed cell death</t>
  </si>
  <si>
    <t>Diseases of propionyl-CoA catabolism</t>
  </si>
  <si>
    <t>Diseases of signal transduction by growth factor receptors and second messengers</t>
  </si>
  <si>
    <t>Diseases of the neuronal system</t>
  </si>
  <si>
    <t>Disorders of Developmental Biology</t>
  </si>
  <si>
    <t>Disorders of Nervous System Development</t>
  </si>
  <si>
    <t>Disorders of transmembrane transporters</t>
  </si>
  <si>
    <t>Drug resistance in ERBB2 KD mutants</t>
  </si>
  <si>
    <t>Drug resistance in ERBB2 TMD/JMD mutants</t>
  </si>
  <si>
    <t>Drug resistance of ALK mutants</t>
  </si>
  <si>
    <t>Drug resistance of FLT3 mutants</t>
  </si>
  <si>
    <t>Drug resistance of KIT mutants</t>
  </si>
  <si>
    <t>Drug resistance of PDGFR mutants</t>
  </si>
  <si>
    <t>Early Phase of HIV Life Cycle</t>
  </si>
  <si>
    <t>Early SARS-CoV-2 Infection Events</t>
  </si>
  <si>
    <t>Entry of Influenza Virion into Host Cell via Endocytosis</t>
  </si>
  <si>
    <t>Escape of Mtb from the phagocyte</t>
  </si>
  <si>
    <t>Essential fructosuria</t>
  </si>
  <si>
    <t>Essential pentosuria</t>
  </si>
  <si>
    <t>Evasion of Oncogene Induced Senescence Due to Defective p16INK4A binding to CDK4</t>
  </si>
  <si>
    <t>Evasion of Oncogene Induced Senescence Due to Defective p16INK4A binding to CDK4 and CDK6</t>
  </si>
  <si>
    <t>Evasion of Oncogene Induced Senescence Due to p14ARF Defects</t>
  </si>
  <si>
    <t>Evasion of Oncogene Induced Senescence Due to p16INK4A Defects</t>
  </si>
  <si>
    <t>Evasion of Oxidative Stress Induced Senescence Due to Defective p16INK4A binding to CDK4</t>
  </si>
  <si>
    <t>Evasion of Oxidative Stress Induced Senescence Due to Defective p16INK4A binding to CDK4 and CDK6</t>
  </si>
  <si>
    <t>Evasion of Oxidative Stress Induced Senescence Due to p14ARF Defects</t>
  </si>
  <si>
    <t>Evasion of Oxidative Stress Induced Senescence Due to p16INK4A Defects</t>
  </si>
  <si>
    <t>Export of Viral Ribonucleoproteins from Nucleus</t>
  </si>
  <si>
    <t>FBXW7 Mutants and NOTCH1 in Cancer</t>
  </si>
  <si>
    <t>FCGR3A-mediated IL10 synthesis</t>
  </si>
  <si>
    <t>FCGR3A-mediated phagocytosis</t>
  </si>
  <si>
    <t>FGFR1 mutant receptor activation</t>
  </si>
  <si>
    <t>FGFR2 mutant receptor activation</t>
  </si>
  <si>
    <t>FGFR3 mutant receptor activation</t>
  </si>
  <si>
    <t>FGFR4 mutant receptor activation</t>
  </si>
  <si>
    <t>FLT3 mutants bind TKIs</t>
  </si>
  <si>
    <t>FLT3 signaling by CBL mutants</t>
  </si>
  <si>
    <t>FLT3 signaling in disease</t>
  </si>
  <si>
    <t>Formation of HIV elongation complex in the absence of HIV Tat</t>
  </si>
  <si>
    <t>Formation of HIV-1 elongation complex containing HIV-1 Tat</t>
  </si>
  <si>
    <t>Formation of the HIV-1 Early Elongation Complex</t>
  </si>
  <si>
    <t>Fusion and Uncoating of the Influenza Virion</t>
  </si>
  <si>
    <t>Fusion of the Influenza Virion to the Host Cell Endosome</t>
  </si>
  <si>
    <t>Gain-of-function MRAS complexes activate RAF signaling</t>
  </si>
  <si>
    <t>Glycogen storage disease type 0 (liver GYS2)</t>
  </si>
  <si>
    <t>Glycogen storage disease type 0 (muscle GYS1)</t>
  </si>
  <si>
    <t>Glycogen storage disease type II (GAA)</t>
  </si>
  <si>
    <t>Glycogen storage disease type IV (GBE1)</t>
  </si>
  <si>
    <t>Glycogen storage disease type Ia (G6PC)</t>
  </si>
  <si>
    <t>Glycogen storage disease type Ib (SLC37A4)</t>
  </si>
  <si>
    <t>Glycogen storage disease type XV (GYG1)</t>
  </si>
  <si>
    <t>Glycogen storage diseases</t>
  </si>
  <si>
    <t>HCMV Early Events</t>
  </si>
  <si>
    <t>HCMV Infection</t>
  </si>
  <si>
    <t>HCMV Late Events</t>
  </si>
  <si>
    <t>t(4;14) translocations of FGFR3</t>
  </si>
  <si>
    <t>CTNNB1 S33 mutants aren't phosphorylated</t>
  </si>
  <si>
    <t>CTNNB1 S37 mutants aren't phosphorylated</t>
  </si>
  <si>
    <t>CTNNB1 S45 mutants aren't phosphorylated</t>
  </si>
  <si>
    <t>CTNNB1 T41 mutants aren't phosphorylated</t>
  </si>
  <si>
    <t>HHAT G278V doesn't palmitoylate Hh-Np</t>
  </si>
  <si>
    <t>semaxanib-resistant FLT3 mutants</t>
  </si>
  <si>
    <t>midostaurin-resistant FLT3 mutants</t>
  </si>
  <si>
    <t>pexidartinib-resistant FLT3 mutants</t>
  </si>
  <si>
    <t>ponatinib-resistant FLT3 mutants</t>
  </si>
  <si>
    <t>quizartinib-resistant FLT3 mutants</t>
  </si>
  <si>
    <t>sorafenib-resistant FLT3 mutants</t>
  </si>
  <si>
    <t>sunitinib-resistant FLT3 mutants</t>
  </si>
  <si>
    <t>tandutinib-resistant FLT3 mutants</t>
  </si>
  <si>
    <t>tamatinib-resistant FLT3 mutants</t>
  </si>
  <si>
    <t>vRNA Synthesis</t>
  </si>
  <si>
    <t>vRNP Assembly</t>
  </si>
  <si>
    <t>Deregulated CDK5 triggers multiple neurodegenerative pathways in Alzheimer's disease models</t>
  </si>
  <si>
    <t>Signaling by NOTCH</t>
  </si>
  <si>
    <t>MTOR signalling</t>
  </si>
  <si>
    <t>Signaling by WNT</t>
  </si>
  <si>
    <t>Signaling by Hippo</t>
  </si>
  <si>
    <t>Signaling by Leptin</t>
  </si>
  <si>
    <t>Integrin signaling</t>
  </si>
  <si>
    <t>Signaling by GPCR</t>
  </si>
  <si>
    <t>Signaling by Hedgehog</t>
  </si>
  <si>
    <t>MAPK family signaling cascades</t>
  </si>
  <si>
    <t>Death Receptor Signaling</t>
  </si>
  <si>
    <t>Signaling by Erythropoietin</t>
  </si>
  <si>
    <t>Intracellular signaling by second messengers</t>
  </si>
  <si>
    <t>Signaling by Non-Receptor Tyrosine Kinases</t>
  </si>
  <si>
    <t>Signaling by Nuclear Receptors</t>
  </si>
  <si>
    <t>Signaling by Receptor Tyrosine Kinases</t>
  </si>
  <si>
    <t>Signaling by TGFB family members</t>
  </si>
  <si>
    <t>Signaling by Rho GTPases, Miro GTPases and RHOBTB3</t>
  </si>
  <si>
    <t>Pre-NOTCH Expression and Processing</t>
  </si>
  <si>
    <t>Signaling by NOTCH1</t>
  </si>
  <si>
    <t>Signaling by NOTCH2</t>
  </si>
  <si>
    <t>Signaling by NOTCH3</t>
  </si>
  <si>
    <t>Signaling by NOTCH4</t>
  </si>
  <si>
    <t>Pre-NOTCH Processing in the Endoplasmic Reticulum</t>
  </si>
  <si>
    <t>Pre-NOTCH Transcription and Translation</t>
  </si>
  <si>
    <t>Pre-NOTCH Processing in Golgi</t>
  </si>
  <si>
    <t>NOTCH1 Intracellular Domain Regulates Transcription</t>
  </si>
  <si>
    <t>Activated NOTCH1 Transmits Signal to the Nucleus</t>
  </si>
  <si>
    <t>NOTCH2 intracellular domain regulates transcription</t>
  </si>
  <si>
    <t>NOTCH2 Activation and Transmission of Signal to the Nucleus</t>
  </si>
  <si>
    <t>NOTCH3 Activation and Transmission of Signal to the Nucleus</t>
  </si>
  <si>
    <t>NOTCH3 Intracellular Domain Regulates Transcription</t>
  </si>
  <si>
    <t>Noncanonical activation of NOTCH3</t>
  </si>
  <si>
    <t>NOTCH4 Intracellular Domain Regulates Transcription</t>
  </si>
  <si>
    <t>NOTCH4 Activation and Transmission of Signal to the Nucleus</t>
  </si>
  <si>
    <t>Negative regulation of NOTCH4 signaling</t>
  </si>
  <si>
    <t>Inhibition of TSC complex formation by PKB</t>
  </si>
  <si>
    <t>mTORC1-mediated signalling</t>
  </si>
  <si>
    <t>Energy dependent regulation of mTOR by LKB1-AMPK</t>
  </si>
  <si>
    <t>Degradation of beta-catenin by the destruction complex</t>
  </si>
  <si>
    <t>TCF dependent signaling in response to WNT</t>
  </si>
  <si>
    <t>WNT ligand biogenesis and trafficking</t>
  </si>
  <si>
    <t>Beta-catenin independent WNT signaling</t>
  </si>
  <si>
    <t>Beta-catenin phosphorylation cascade</t>
  </si>
  <si>
    <t>Repression of WNT target genes</t>
  </si>
  <si>
    <t>WNT mediated activation of DVL</t>
  </si>
  <si>
    <t>Formation of the beta-catenin:TCF transactivating complex</t>
  </si>
  <si>
    <t>Deactivation of the beta-catenin transactivating complex</t>
  </si>
  <si>
    <t>Negative regulation of TCF-dependent signaling by WNT ligand antagonists</t>
  </si>
  <si>
    <t>Degradation of AXIN</t>
  </si>
  <si>
    <t>Degradation of DVL</t>
  </si>
  <si>
    <t>Disassembly of the destruction complex and recruitment of AXIN to the membrane</t>
  </si>
  <si>
    <t>Regulation of FZD by ubiquitination</t>
  </si>
  <si>
    <t>Negative regulation of TCF-dependent signaling by DVL-interacting proteins</t>
  </si>
  <si>
    <t>Binding of TCF/LEF:CTNNB1 to target gene promoters</t>
  </si>
  <si>
    <t>Ca2+ pathway</t>
  </si>
  <si>
    <t>PCP/CE pathway</t>
  </si>
  <si>
    <t>Asymmetric localization of PCP proteins</t>
  </si>
  <si>
    <t>WNT5A-dependent internalization of FZD4</t>
  </si>
  <si>
    <t>WNT5A-dependent internalization of FZD2, FZD5 and ROR2</t>
  </si>
  <si>
    <t xml:space="preserve">GRB2:SOS provides linkage to MAPK signaling for Integrins </t>
  </si>
  <si>
    <t>p130Cas linkage to MAPK signaling for integrins</t>
  </si>
  <si>
    <t>GPCR downstream signalling</t>
  </si>
  <si>
    <t>GPCR ligand binding</t>
  </si>
  <si>
    <t>G-protein beta:gamma signalling</t>
  </si>
  <si>
    <t>G alpha (q) signalling events</t>
  </si>
  <si>
    <t>G alpha (12/13) signalling events</t>
  </si>
  <si>
    <t>G alpha (s) signalling events</t>
  </si>
  <si>
    <t>G alpha (i) signalling events</t>
  </si>
  <si>
    <t>G alpha (z) signalling events</t>
  </si>
  <si>
    <t>G beta:gamma signalling through PI3Kgamma</t>
  </si>
  <si>
    <t>G beta:gamma signalling through PLC beta</t>
  </si>
  <si>
    <t>G beta:gamma signalling through BTK</t>
  </si>
  <si>
    <t>G beta:gamma signalling through CDC42</t>
  </si>
  <si>
    <t>Effects of PIP2 hydrolysis</t>
  </si>
  <si>
    <t>Gastrin-CREB signalling pathway via PKC and MAPK</t>
  </si>
  <si>
    <t>Arachidonate production from DAG</t>
  </si>
  <si>
    <t>EGFR Transactivation by Gastrin</t>
  </si>
  <si>
    <t>GPER1 signaling</t>
  </si>
  <si>
    <t>Opioid Signalling</t>
  </si>
  <si>
    <t>G-protein mediated events</t>
  </si>
  <si>
    <t>DARPP-32 events</t>
  </si>
  <si>
    <t>G-protein activation</t>
  </si>
  <si>
    <t>PLC beta mediated events</t>
  </si>
  <si>
    <t>Adenylate cyclase activating pathway</t>
  </si>
  <si>
    <t>Adenylate cyclase inhibitory pathway</t>
  </si>
  <si>
    <t>Ca-dependent events</t>
  </si>
  <si>
    <t>phospho-PLA2 pathway</t>
  </si>
  <si>
    <t>CaM pathway</t>
  </si>
  <si>
    <t>Calmodulin induced events</t>
  </si>
  <si>
    <t>PKA-mediated phosphorylation of CREB</t>
  </si>
  <si>
    <t>CaMK IV-mediated phosphorylation of CREB</t>
  </si>
  <si>
    <t>Cam-PDE 1 activation</t>
  </si>
  <si>
    <t>PKA activation</t>
  </si>
  <si>
    <t>Class A/1 (Rhodopsin-like receptors)</t>
  </si>
  <si>
    <t>Class B/2 (Secretin family receptors)</t>
  </si>
  <si>
    <t>Class C/3 (Metabotropic glutamate/pheromone receptors)</t>
  </si>
  <si>
    <t>Hydroxycarboxylic acid-binding receptors</t>
  </si>
  <si>
    <t>Peptide ligand-binding receptors</t>
  </si>
  <si>
    <t>Amine ligand-binding receptors</t>
  </si>
  <si>
    <t>Hormone ligand-binding receptors</t>
  </si>
  <si>
    <t>Eicosanoid ligand-binding receptors</t>
  </si>
  <si>
    <t>Nucleotide-like (purinergic) receptors</t>
  </si>
  <si>
    <t>Lysosphingolipid and LPA receptors</t>
  </si>
  <si>
    <t>Opsins</t>
  </si>
  <si>
    <t>Free fatty acid receptors</t>
  </si>
  <si>
    <t>Tachykinin receptors bind tachykinins</t>
  </si>
  <si>
    <t>Chemokine receptors bind chemokines</t>
  </si>
  <si>
    <t>Vasopressin-like receptors</t>
  </si>
  <si>
    <t>Orexin and neuropeptides FF and QRFP bind to their respective receptors</t>
  </si>
  <si>
    <t>Formyl peptide receptors bind formyl peptides and many other ligands</t>
  </si>
  <si>
    <t>Relaxin receptors</t>
  </si>
  <si>
    <t>Muscarinic acetylcholine receptors</t>
  </si>
  <si>
    <t>Histamine receptors</t>
  </si>
  <si>
    <t>Dopamine receptors</t>
  </si>
  <si>
    <t>Serotonin receptors</t>
  </si>
  <si>
    <t>Adrenoceptors</t>
  </si>
  <si>
    <t>Leukotriene receptors</t>
  </si>
  <si>
    <t>Prostanoid ligand receptors</t>
  </si>
  <si>
    <t>P2Y receptors</t>
  </si>
  <si>
    <t>Adenosine P1 receptors</t>
  </si>
  <si>
    <t>Calcitonin-like ligand receptors</t>
  </si>
  <si>
    <t>Glucagon-type ligand receptors</t>
  </si>
  <si>
    <t>Hedgehog ligand biogenesis</t>
  </si>
  <si>
    <t>Hedgehog 'off' state</t>
  </si>
  <si>
    <t>Hedgehog 'on' state</t>
  </si>
  <si>
    <t>Release of Hh-Np from the secreting cell</t>
  </si>
  <si>
    <t>Degradation of GLI1 by the proteasome</t>
  </si>
  <si>
    <t>Degradation of GLI2 by the proteasome</t>
  </si>
  <si>
    <t>GLI3 is processed to GLI3R by the proteasome</t>
  </si>
  <si>
    <t>Ligand-receptor interactions</t>
  </si>
  <si>
    <t>Activation of SMO</t>
  </si>
  <si>
    <t>GLI proteins bind promoters of Hh responsive genes to promote transcription</t>
  </si>
  <si>
    <t>MAPK1/MAPK3 signaling</t>
  </si>
  <si>
    <t>MAPK6/MAPK4 signaling</t>
  </si>
  <si>
    <t>RAF-independent MAPK1/3 activation</t>
  </si>
  <si>
    <t>RAF/MAP kinase cascade</t>
  </si>
  <si>
    <t>MAPK3 (ERK1) activation</t>
  </si>
  <si>
    <t>MAPK1 (ERK2) activation</t>
  </si>
  <si>
    <t>Regulation of RAS by GAPs</t>
  </si>
  <si>
    <t>RAF activation</t>
  </si>
  <si>
    <t>MAP2K and MAPK activation</t>
  </si>
  <si>
    <t>Negative regulation of MAPK pathway</t>
  </si>
  <si>
    <t>RAS processing</t>
  </si>
  <si>
    <t>Negative feedback regulation of MAPK pathway</t>
  </si>
  <si>
    <t>p75 NTR receptor-mediated signalling</t>
  </si>
  <si>
    <t>FasL/ CD95L signaling</t>
  </si>
  <si>
    <t>TRAIL  signaling</t>
  </si>
  <si>
    <t>TNF signaling</t>
  </si>
  <si>
    <t>p75NTR signals via NF-kB</t>
  </si>
  <si>
    <t>p75NTR negatively regulates cell cycle via SC1</t>
  </si>
  <si>
    <t>Ceramide signalling</t>
  </si>
  <si>
    <t>Regulated proteolysis of p75NTR</t>
  </si>
  <si>
    <t>p75NTR regulates axonogenesis</t>
  </si>
  <si>
    <t>Cell death signalling via NRAGE, NRIF and NADE</t>
  </si>
  <si>
    <t>NFG and proNGF binds to p75NTR</t>
  </si>
  <si>
    <t>p75NTR recruits signalling complexes</t>
  </si>
  <si>
    <t>NF-kB is activated and signals survival</t>
  </si>
  <si>
    <t>Axonal growth inhibition (RHOA activation)</t>
  </si>
  <si>
    <t>Axonal growth stimulation</t>
  </si>
  <si>
    <t>NRAGE signals death through JNK</t>
  </si>
  <si>
    <t>NADE modulates death signalling</t>
  </si>
  <si>
    <t>NRIF signals cell death from the nucleus</t>
  </si>
  <si>
    <t>TNFR1-induced proapoptotic signaling</t>
  </si>
  <si>
    <t>Regulation of TNFR1 signaling</t>
  </si>
  <si>
    <t>TNFR1-induced NF-kappa-B signaling pathway</t>
  </si>
  <si>
    <t>TNFR1-mediated ceramide production</t>
  </si>
  <si>
    <t>Erythropoietin activates Phosphoinositide-3-kinase (PI3K)</t>
  </si>
  <si>
    <t>Erythropoietin activates Phospholipase C gamma (PLCG)</t>
  </si>
  <si>
    <t>Erythropoietin activates STAT5</t>
  </si>
  <si>
    <t>Erythropoietin activates RAS</t>
  </si>
  <si>
    <t>PIP3 activates AKT signaling</t>
  </si>
  <si>
    <t>DAG and IP3 signaling</t>
  </si>
  <si>
    <t>AKT phosphorylates targets in the cytosol</t>
  </si>
  <si>
    <t>AKT phosphorylates targets in the nucleus</t>
  </si>
  <si>
    <t>Negative regulation of the PI3K/AKT network</t>
  </si>
  <si>
    <t>PTEN Regulation</t>
  </si>
  <si>
    <t>PI5P, PP2A and IER3 Regulate PI3K/AKT Signaling</t>
  </si>
  <si>
    <t>Regulation of PTEN mRNA translation</t>
  </si>
  <si>
    <t>Regulation of PTEN gene transcription</t>
  </si>
  <si>
    <t>Regulation of PTEN localization</t>
  </si>
  <si>
    <t>Regulation of PTEN stability and activity</t>
  </si>
  <si>
    <t>Competing endogenous RNAs (ceRNAs) regulate PTEN translation</t>
  </si>
  <si>
    <t>Signaling by PTK6</t>
  </si>
  <si>
    <t>ERBB2 Activates PTK6 Signaling</t>
  </si>
  <si>
    <t>PTK6 Regulates Proteins Involved in RNA Processing</t>
  </si>
  <si>
    <t>PTK6 Regulates RTKs and Their Effectors AKT1 and DOK1</t>
  </si>
  <si>
    <t>PTK6 Regulates Cell Cycle</t>
  </si>
  <si>
    <t>PTK6 Regulates RHO GTPases, RAS GTPase and MAP kinases</t>
  </si>
  <si>
    <t>PTK6 Down-Regulation</t>
  </si>
  <si>
    <t>PTK6 Expression</t>
  </si>
  <si>
    <t>PTK6 Activates STAT3</t>
  </si>
  <si>
    <t>PTK6 promotes HIF1A stabilization</t>
  </si>
  <si>
    <t>Signaling by Retinoic Acid</t>
  </si>
  <si>
    <t>ESR-mediated signaling</t>
  </si>
  <si>
    <t>NR1H2 and NR1H3-mediated signaling</t>
  </si>
  <si>
    <t>RA biosynthesis pathway</t>
  </si>
  <si>
    <t>Extra-nuclear estrogen signaling</t>
  </si>
  <si>
    <t>Estrogen-dependent gene expression</t>
  </si>
  <si>
    <t>Estrogen-stimulated signaling through PRKCZ</t>
  </si>
  <si>
    <t>Estrogen-dependent nuclear events downstream of ESR-membrane signaling</t>
  </si>
  <si>
    <t>NR1H2 &amp; NR1H3 regulate gene expression linked to lipogenesis</t>
  </si>
  <si>
    <t>NR1H3 &amp; NR1H2 regulate gene expression linked to cholesterol transport and efflux</t>
  </si>
  <si>
    <t xml:space="preserve">NR1H2 &amp; NR1H3 regulate gene expression to limit cholesterol uptake </t>
  </si>
  <si>
    <t>NR1H2 &amp; NR1H3 regulate gene expression linked to triglyceride lipolysis in adipose</t>
  </si>
  <si>
    <t>NR1H2 &amp; NR1H3 regulate gene expression to control bile acid homeostasis</t>
  </si>
  <si>
    <t xml:space="preserve">NR1H2 &amp; NR1H3 regulate gene expression linked to gluconeogenesis </t>
  </si>
  <si>
    <t>Signaling by ERBB2</t>
  </si>
  <si>
    <t>Signaling by ERBB4</t>
  </si>
  <si>
    <t>Signaling by SCF-KIT</t>
  </si>
  <si>
    <t>Signaling by NTRKs</t>
  </si>
  <si>
    <t>Signaling by EGFR</t>
  </si>
  <si>
    <t>Signaling by PDGF</t>
  </si>
  <si>
    <t>Signaling by FGFR</t>
  </si>
  <si>
    <t>Signaling by VEGF</t>
  </si>
  <si>
    <t>Signaling by ALK</t>
  </si>
  <si>
    <t>Signaling by Type 1 Insulin-like Growth Factor 1 Receptor (IGF1R)</t>
  </si>
  <si>
    <t>Signaling by MET</t>
  </si>
  <si>
    <t>Signaling by Insulin receptor</t>
  </si>
  <si>
    <t>Signaling by MST1</t>
  </si>
  <si>
    <t>SHC1 events in ERBB2 signaling</t>
  </si>
  <si>
    <t>PLCG1 events in ERBB2 signaling</t>
  </si>
  <si>
    <t>GRB7 events in ERBB2 signaling</t>
  </si>
  <si>
    <t>GRB2 events in ERBB2 signaling</t>
  </si>
  <si>
    <t>PI3K events in ERBB2 signaling</t>
  </si>
  <si>
    <t>ERBB2 Regulates Cell Motility</t>
  </si>
  <si>
    <t>Downregulation of ERBB2 signaling</t>
  </si>
  <si>
    <t>Drug-mediated inhibition of ERBB2 signaling</t>
  </si>
  <si>
    <t>Downregulation of ERBB2:ERBB3 signaling</t>
  </si>
  <si>
    <t>PI3K events in ERBB4 signaling</t>
  </si>
  <si>
    <t>SHC1 events in ERBB4 signaling</t>
  </si>
  <si>
    <t>Nuclear signaling by ERBB4</t>
  </si>
  <si>
    <t>Downregulation of ERBB4 signaling</t>
  </si>
  <si>
    <t>Regulation of KIT signaling</t>
  </si>
  <si>
    <t>Signaling by NTRK1 (TRKA)</t>
  </si>
  <si>
    <t>Signaling by NTRK2 (TRKB)</t>
  </si>
  <si>
    <t>Signaling by NTRK3 (TRKC)</t>
  </si>
  <si>
    <t>Expression and Processing of Neurotrophins</t>
  </si>
  <si>
    <t>PLC-gamma1 signalling</t>
  </si>
  <si>
    <t>Retrograde neurotrophin signalling</t>
  </si>
  <si>
    <t>Activation of TRKA receptors</t>
  </si>
  <si>
    <t>Signalling to ERKs</t>
  </si>
  <si>
    <t>PI3K/AKT activation</t>
  </si>
  <si>
    <t>Nuclear Events (kinase and transcription factor activation)</t>
  </si>
  <si>
    <t>Signalling to STAT3</t>
  </si>
  <si>
    <t>Signalling to ERK5</t>
  </si>
  <si>
    <t>NGF-independant TRKA activation</t>
  </si>
  <si>
    <t>TRKA activation by NGF</t>
  </si>
  <si>
    <t>Signalling to RAS</t>
  </si>
  <si>
    <t>Prolonged ERK activation events</t>
  </si>
  <si>
    <t>Signalling to p38 via RIT and RIN</t>
  </si>
  <si>
    <t>p38MAPK events</t>
  </si>
  <si>
    <t>Frs2-mediated activation</t>
  </si>
  <si>
    <t>ARMS-mediated activation</t>
  </si>
  <si>
    <t>ERK/MAPK targets</t>
  </si>
  <si>
    <t>CREB phosphorylation</t>
  </si>
  <si>
    <t>NGF-stimulated transcription</t>
  </si>
  <si>
    <t>ERKs are inactivated</t>
  </si>
  <si>
    <t>BDNF activates NTRK2 (TRKB) signaling</t>
  </si>
  <si>
    <t>NTF3 activates NTRK2 (TRKB) signaling</t>
  </si>
  <si>
    <t>NTF4 activates NTRK2 (TRKB) signaling</t>
  </si>
  <si>
    <t>Activated NTRK2 signals through RAS</t>
  </si>
  <si>
    <t>Activated NTRK2 signals through PLCG1</t>
  </si>
  <si>
    <t>Activated NTRK2 signals through PI3K</t>
  </si>
  <si>
    <t>Activated NTRK2 signals through FRS2 and FRS3</t>
  </si>
  <si>
    <t>Activated NTRK2 signals through FYN</t>
  </si>
  <si>
    <t>Activated NTRK2 signals through CDK5</t>
  </si>
  <si>
    <t>NTRK2 activates RAC1</t>
  </si>
  <si>
    <t>NTF3 activates NTRK3 signaling</t>
  </si>
  <si>
    <t>Activated NTRK3 signals through PLCG1</t>
  </si>
  <si>
    <t>Activated NTRK3 signals through RAS</t>
  </si>
  <si>
    <t>Activated NTRK3 signals through PI3K</t>
  </si>
  <si>
    <t>NTRK3 as a dependence receptor</t>
  </si>
  <si>
    <t>NGF processing</t>
  </si>
  <si>
    <t>GRB2 events in EGFR signaling</t>
  </si>
  <si>
    <t>GAB1 signalosome</t>
  </si>
  <si>
    <t>SHC1 events in EGFR signaling</t>
  </si>
  <si>
    <t>EGFR downregulation</t>
  </si>
  <si>
    <t>EGFR interacts with phospholipase C-gamma</t>
  </si>
  <si>
    <t>Downstream signal transduction</t>
  </si>
  <si>
    <t>Signaling by FGFR1</t>
  </si>
  <si>
    <t>Signaling by FGFR2</t>
  </si>
  <si>
    <t>Signaling by FGFR3</t>
  </si>
  <si>
    <t>Signaling by FGFR4</t>
  </si>
  <si>
    <t>FGFR1 ligand binding and activation</t>
  </si>
  <si>
    <t>Downstream signaling of activated FGFR1</t>
  </si>
  <si>
    <t>Negative regulation of FGFR1 signaling</t>
  </si>
  <si>
    <t>FGFRL1 modulation of FGFR1 signaling</t>
  </si>
  <si>
    <t>FGFR1b ligand binding and activation</t>
  </si>
  <si>
    <t>FGFR1c ligand binding and activation</t>
  </si>
  <si>
    <t>FGFR1c and Klotho ligand binding and activation</t>
  </si>
  <si>
    <t>Phospholipase C-mediated cascade: FGFR1</t>
  </si>
  <si>
    <t>SHC-mediated cascade:FGFR1</t>
  </si>
  <si>
    <t>PI-3K cascade:FGFR1</t>
  </si>
  <si>
    <t>FRS-mediated FGFR1 signaling</t>
  </si>
  <si>
    <t>Spry regulation of FGF signaling</t>
  </si>
  <si>
    <t>FGFR2 ligand binding and activation</t>
  </si>
  <si>
    <t>Downstream signaling of activated FGFR2</t>
  </si>
  <si>
    <t>Negative regulation of FGFR2 signaling</t>
  </si>
  <si>
    <t>FGFR2 alternative splicing</t>
  </si>
  <si>
    <t>FGFR2c ligand binding and activation</t>
  </si>
  <si>
    <t>FGFR2b ligand binding and activation</t>
  </si>
  <si>
    <t>Phospholipase C-mediated cascade; FGFR2</t>
  </si>
  <si>
    <t>PI-3K cascade:FGFR2</t>
  </si>
  <si>
    <t>SHC-mediated cascade:FGFR2</t>
  </si>
  <si>
    <t>FRS-mediated FGFR2 signaling</t>
  </si>
  <si>
    <t>FGFR3 ligand binding and activation</t>
  </si>
  <si>
    <t>Downstream signaling of activated FGFR3</t>
  </si>
  <si>
    <t>Negative regulation of FGFR3 signaling</t>
  </si>
  <si>
    <t>FGFR3b ligand binding and activation</t>
  </si>
  <si>
    <t>FGFR3c ligand binding and activation</t>
  </si>
  <si>
    <t>Phospholipase C-mediated cascade; FGFR3</t>
  </si>
  <si>
    <t>SHC-mediated cascade:FGFR3</t>
  </si>
  <si>
    <t>FRS-mediated FGFR3 signaling</t>
  </si>
  <si>
    <t>PI-3K cascade:FGFR3</t>
  </si>
  <si>
    <t>FGFR4 ligand binding and activation</t>
  </si>
  <si>
    <t>Downstream signaling of activated FGFR4</t>
  </si>
  <si>
    <t>Negative regulation of FGFR4 signaling</t>
  </si>
  <si>
    <t>betaKlotho-mediated ligand binding</t>
  </si>
  <si>
    <t>Phospholipase C-mediated cascade; FGFR4</t>
  </si>
  <si>
    <t>FRS-mediated FGFR4 signaling</t>
  </si>
  <si>
    <t>SHC-mediated cascade:FGFR4</t>
  </si>
  <si>
    <t>PI-3K cascade:FGFR4</t>
  </si>
  <si>
    <t>Neurophilin interactions with VEGF and VEGFR</t>
  </si>
  <si>
    <t>VEGF ligand-receptor interactions</t>
  </si>
  <si>
    <t>VEGFA-VEGFR2 Pathway</t>
  </si>
  <si>
    <t>VEGF binds to VEGFR leading to receptor dimerization</t>
  </si>
  <si>
    <t>VEGFR2 mediated vascular permeability</t>
  </si>
  <si>
    <t>VEGFR2 mediated cell proliferation</t>
  </si>
  <si>
    <t>STAT3 nuclear events downstream of ALK signaling</t>
  </si>
  <si>
    <t>IGF1R signaling cascade</t>
  </si>
  <si>
    <t>IRS-related events triggered by IGF1R</t>
  </si>
  <si>
    <t>SHC-related events triggered by IGF1R</t>
  </si>
  <si>
    <t>IRS-mediated signalling</t>
  </si>
  <si>
    <t>PI3K Cascade</t>
  </si>
  <si>
    <t>SOS-mediated signalling</t>
  </si>
  <si>
    <t>PKB-mediated events</t>
  </si>
  <si>
    <t>Activation of AKT2</t>
  </si>
  <si>
    <t>PDE3B signalling</t>
  </si>
  <si>
    <t>MET Receptor Activation</t>
  </si>
  <si>
    <t>Negative regulation of MET activity</t>
  </si>
  <si>
    <t>MET activates RAS signaling</t>
  </si>
  <si>
    <t>MET activates PI3K/AKT signaling</t>
  </si>
  <si>
    <t>MET activates PTPN11</t>
  </si>
  <si>
    <t>MET receptor recycling</t>
  </si>
  <si>
    <t>MET activates STAT3</t>
  </si>
  <si>
    <t>MET promotes cell motility</t>
  </si>
  <si>
    <t>Drug-mediated inhibition of MET activation</t>
  </si>
  <si>
    <t>MET activates PTK2 signaling</t>
  </si>
  <si>
    <t>MET interacts with TNS proteins</t>
  </si>
  <si>
    <t>MET activates RAP1 and RAC1</t>
  </si>
  <si>
    <t>Insulin receptor signalling cascade</t>
  </si>
  <si>
    <t>Insulin receptor recycling</t>
  </si>
  <si>
    <t>IRS activation</t>
  </si>
  <si>
    <t>Signal attenuation</t>
  </si>
  <si>
    <t>Signaling by Activin</t>
  </si>
  <si>
    <t>Signaling by TGF-beta Receptor Complex</t>
  </si>
  <si>
    <t>Signaling by BMP</t>
  </si>
  <si>
    <t>Antagonism of Activin by Follistatin</t>
  </si>
  <si>
    <t>TGF-beta receptor signaling activates SMADs</t>
  </si>
  <si>
    <t>TGF-beta receptor signaling in EMT (epithelial to mesenchymal transition)</t>
  </si>
  <si>
    <t>Transcriptional activity of SMAD2/SMAD3:SMAD4 heterotrimer</t>
  </si>
  <si>
    <t>Downregulation of TGF-beta receptor signaling</t>
  </si>
  <si>
    <t>Downregulation of SMAD2/3:SMAD4 transcriptional activity</t>
  </si>
  <si>
    <t>SMAD2/SMAD3:SMAD4 heterotrimer regulates transcription</t>
  </si>
  <si>
    <t>Signaling by Rho GTPases</t>
  </si>
  <si>
    <t>RHOBTB3 ATPase cycle</t>
  </si>
  <si>
    <t>Miro GTPase Cycle</t>
  </si>
  <si>
    <t>RHO GTPase Effectors</t>
  </si>
  <si>
    <t>RHO GTPase cycle</t>
  </si>
  <si>
    <t>RHO GTPases activate PKNs</t>
  </si>
  <si>
    <t>RHO GTPases activate CIT</t>
  </si>
  <si>
    <t>RHO GTPases activate KTN1</t>
  </si>
  <si>
    <t>RHO GTPases activate IQGAPs</t>
  </si>
  <si>
    <t>RHO GTPases regulate CFTR trafficking</t>
  </si>
  <si>
    <t>RHO GTPases Activate ROCKs</t>
  </si>
  <si>
    <t>RHO GTPases activate PAKs</t>
  </si>
  <si>
    <t>RHO GTPases Activate WASPs and WAVEs</t>
  </si>
  <si>
    <t>RHO GTPases Activate Formins</t>
  </si>
  <si>
    <t>RHO GTPases Activate Rhotekin and Rhophilins</t>
  </si>
  <si>
    <t>RHO GTPases Activate NADPH Oxidases</t>
  </si>
  <si>
    <t>Activated PKN1 stimulates transcription of AR (androgen receptor) regulated genes KLK2 and KLK3</t>
  </si>
  <si>
    <t>RHOA GTPase cycle</t>
  </si>
  <si>
    <t>RHOB GTPase cycle</t>
  </si>
  <si>
    <t>RHOC GTPase cycle</t>
  </si>
  <si>
    <t>CDC42 GTPase cycle</t>
  </si>
  <si>
    <t>RAC1 GTPase cycle</t>
  </si>
  <si>
    <t>RAC2 GTPase cycle</t>
  </si>
  <si>
    <t>RHOD GTPase cycle</t>
  </si>
  <si>
    <t>RHOQ GTPase cycle</t>
  </si>
  <si>
    <t>RHOH GTPase cycle</t>
  </si>
  <si>
    <t>RHOG GTPase cycle</t>
  </si>
  <si>
    <t>RHOJ GTPase cycle</t>
  </si>
  <si>
    <t>RHOU GTPase cycle</t>
  </si>
  <si>
    <t>RAC3 GTPase cycle</t>
  </si>
  <si>
    <t>RHOV GTPase cycle</t>
  </si>
  <si>
    <t>RHOF GTPase cycle</t>
  </si>
  <si>
    <t>RND3 GTPase cycle</t>
  </si>
  <si>
    <t>RND2 GTPase cycle</t>
  </si>
  <si>
    <t>RND1 GTPase cycle</t>
  </si>
  <si>
    <t>RHOBTB GTPase Cycle</t>
  </si>
  <si>
    <t>RHOBTB2 GTPase cycle</t>
  </si>
  <si>
    <t>RHOBTB1 GTPase cycle</t>
  </si>
  <si>
    <t>RHOT2 GTPase cycle</t>
  </si>
  <si>
    <t>RHOT1 GTPase cycle</t>
  </si>
  <si>
    <t>Mitochondrial iron-sulfur cluster biogenesis</t>
  </si>
  <si>
    <t>The citric acid (TCA) cycle and respiratory electron transport</t>
  </si>
  <si>
    <t>Reversible hydration of carbon dioxide</t>
  </si>
  <si>
    <t>Inositol phosphate metabolism</t>
  </si>
  <si>
    <t>Metabolism of nucleotides</t>
  </si>
  <si>
    <t>Integration of energy metabolism</t>
  </si>
  <si>
    <t>Metabolism of porphyrins</t>
  </si>
  <si>
    <t>Metabolism of vitamins and cofactors</t>
  </si>
  <si>
    <t>Metabolism of nitric oxide: NOS3 activation and regulation</t>
  </si>
  <si>
    <t>Biological oxidations</t>
  </si>
  <si>
    <t>Cytosolic iron-sulfur cluster assembly</t>
  </si>
  <si>
    <t>Metabolism of lipids</t>
  </si>
  <si>
    <t>Metabolism of amino acids and derivatives</t>
  </si>
  <si>
    <t>Metabolism of carbohydrates</t>
  </si>
  <si>
    <t>Pyrophosphate hydrolysis</t>
  </si>
  <si>
    <t>Electron transport from NADPH to Ferredoxin</t>
  </si>
  <si>
    <t>Respiratory electron transport, ATP synthesis by chemiosmotic coupling, and heat production by uncoupling proteins.</t>
  </si>
  <si>
    <t>Pyruvate metabolism and Citric Acid (TCA) cycle</t>
  </si>
  <si>
    <t>Formation of ATP by chemiosmotic coupling</t>
  </si>
  <si>
    <t>Mitochondrial Uncoupling</t>
  </si>
  <si>
    <t>Respiratory electron transport</t>
  </si>
  <si>
    <t>The fatty acid cycling model</t>
  </si>
  <si>
    <t>The proton buffering model</t>
  </si>
  <si>
    <t>Oleoyl-phe metabolism</t>
  </si>
  <si>
    <t>Complex I biogenesis</t>
  </si>
  <si>
    <t>Pyruvate metabolism</t>
  </si>
  <si>
    <t>Citric acid cycle (TCA cycle)</t>
  </si>
  <si>
    <t>Interconversion of 2-oxoglutarate and 2-hydroxyglutarate</t>
  </si>
  <si>
    <t>Regulation of pyruvate dehydrogenase (PDH) complex</t>
  </si>
  <si>
    <t>IPs transport between ER lumen and nucleus</t>
  </si>
  <si>
    <t>Synthesis of pyrophosphates in the cytosol</t>
  </si>
  <si>
    <t>IPs transport between nucleus and cytosol</t>
  </si>
  <si>
    <t>Synthesis of IP2, IP, and Ins in the cytosol</t>
  </si>
  <si>
    <t>IPs transport between cytosol and ER lumen</t>
  </si>
  <si>
    <t>Synthesis of IPs in the nucleus</t>
  </si>
  <si>
    <t>IPs transport between nucleus and ER lumen</t>
  </si>
  <si>
    <t>IP3 and IP4 transport between cytosol and nucleus</t>
  </si>
  <si>
    <t>Synthesis of IP3 and IP4 in the cytosol</t>
  </si>
  <si>
    <t>IPs transport between ER lumen and cytosol</t>
  </si>
  <si>
    <t>IP6 and IP7 transport between cytosol and nucleus</t>
  </si>
  <si>
    <t>Synthesis of IPs in the ER lumen</t>
  </si>
  <si>
    <t>Interconversion of nucleotide di- and triphosphates</t>
  </si>
  <si>
    <t>Nucleotide catabolism</t>
  </si>
  <si>
    <t>Nucleotide biosynthesis</t>
  </si>
  <si>
    <t>Nucleotide salvage</t>
  </si>
  <si>
    <t>Pyrimidine catabolism</t>
  </si>
  <si>
    <t>Purine catabolism</t>
  </si>
  <si>
    <t>Phosphate bond hydrolysis by NTPDase proteins</t>
  </si>
  <si>
    <t>Phosphate bond hydrolysis by NUDT proteins</t>
  </si>
  <si>
    <t>Pyrimidine biosynthesis</t>
  </si>
  <si>
    <t>Purine ribonucleoside monophosphate biosynthesis</t>
  </si>
  <si>
    <t>Pyrimidine salvage</t>
  </si>
  <si>
    <t>Purine salvage</t>
  </si>
  <si>
    <t>PKA-mediated phosphorylation of key metabolic factors</t>
  </si>
  <si>
    <t>Glucagon signaling in metabolic regulation</t>
  </si>
  <si>
    <t>AMPK inhibits chREBP transcriptional activation activity</t>
  </si>
  <si>
    <t>Insulin effects increased synthesis of Xylulose-5-Phosphate</t>
  </si>
  <si>
    <t>ChREBP activates metabolic gene expression</t>
  </si>
  <si>
    <t>PP2A-mediated dephosphorylation of key metabolic factors</t>
  </si>
  <si>
    <t>Regulation of insulin secretion</t>
  </si>
  <si>
    <t>PKA activation in glucagon signalling</t>
  </si>
  <si>
    <t>Glucagon-like Peptide-1 (GLP1) regulates insulin secretion</t>
  </si>
  <si>
    <t>Acetylcholine regulates insulin secretion</t>
  </si>
  <si>
    <t>Adrenaline,noradrenaline inhibits insulin secretion</t>
  </si>
  <si>
    <t>Free fatty acids regulate insulin secretion</t>
  </si>
  <si>
    <t>Intracellular metabolism of fatty acids regulates insulin secretion</t>
  </si>
  <si>
    <t>Fatty Acids bound to GPR40 (FFAR1) regulate insulin secretion</t>
  </si>
  <si>
    <t>Heme biosynthesis</t>
  </si>
  <si>
    <t>Heme degradation</t>
  </si>
  <si>
    <t>Metabolism of water-soluble vitamins and cofactors</t>
  </si>
  <si>
    <t>Metabolism of fat-soluble vitamins</t>
  </si>
  <si>
    <t>Metabolism of cofactors</t>
  </si>
  <si>
    <t>Cobalamin (Cbl, vitamin B12) transport and metabolism</t>
  </si>
  <si>
    <t>Metabolism of folate and pterines</t>
  </si>
  <si>
    <t>Biotin transport and metabolism</t>
  </si>
  <si>
    <t>Nicotinate metabolism</t>
  </si>
  <si>
    <t>Vitamin B1 (thiamin) metabolism</t>
  </si>
  <si>
    <t>Vitamin C (ascorbate) metabolism</t>
  </si>
  <si>
    <t>Vitamin B2 (riboflavin) metabolism</t>
  </si>
  <si>
    <t>Vitamin B5 (pantothenate) metabolism</t>
  </si>
  <si>
    <t>Molybdenum cofactor biosynthesis</t>
  </si>
  <si>
    <t>Vitamin B6 activation to pyridoxal phosphate</t>
  </si>
  <si>
    <t>Uptake of dietary cobalamins into enterocytes</t>
  </si>
  <si>
    <t>Transport of RCbl within the body</t>
  </si>
  <si>
    <t>Cobalamin (Cbl) metabolism</t>
  </si>
  <si>
    <t>Nicotinamide salvaging</t>
  </si>
  <si>
    <t>Coenzyme A biosynthesis</t>
  </si>
  <si>
    <t>Metabolism of vitamin K</t>
  </si>
  <si>
    <t>Vitamin E</t>
  </si>
  <si>
    <t>Retinoid metabolism and transport</t>
  </si>
  <si>
    <t>Tetrahydrobiopterin (BH4) synthesis, recycling, salvage and regulation</t>
  </si>
  <si>
    <t>Ubiquinol biosynthesis</t>
  </si>
  <si>
    <t>NADPH regeneration</t>
  </si>
  <si>
    <t>eNOS activation</t>
  </si>
  <si>
    <t>NOSTRIN mediated eNOS trafficking</t>
  </si>
  <si>
    <t>NOSIP mediated eNOS trafficking</t>
  </si>
  <si>
    <t>Phase II - Conjugation of compounds</t>
  </si>
  <si>
    <t>Phase I - Functionalization of compounds</t>
  </si>
  <si>
    <t>Aflatoxin activation and detoxification</t>
  </si>
  <si>
    <t>Methylation</t>
  </si>
  <si>
    <t>Acetylation</t>
  </si>
  <si>
    <t>Cytosolic sulfonation of small molecules</t>
  </si>
  <si>
    <t>Amino Acid conjugation</t>
  </si>
  <si>
    <t>Glucuronidation</t>
  </si>
  <si>
    <t>Glutathione conjugation</t>
  </si>
  <si>
    <t>Transport and synthesis of PAPS</t>
  </si>
  <si>
    <t>Conjugation of carboxylic acids</t>
  </si>
  <si>
    <t>Conjugation of salicylate with glycine</t>
  </si>
  <si>
    <t>Conjugation of benzoate with glycine</t>
  </si>
  <si>
    <t>Conjugation of phenylacetate with glutamine</t>
  </si>
  <si>
    <t>Formation of the active cofactor, UDP-glucuronate</t>
  </si>
  <si>
    <t>Glutathione synthesis and recycling</t>
  </si>
  <si>
    <t>Amine Oxidase reactions</t>
  </si>
  <si>
    <t>COX reactions</t>
  </si>
  <si>
    <t>Cytochrome P450 - arranged by substrate type</t>
  </si>
  <si>
    <t>FMO oxidises nucleophiles</t>
  </si>
  <si>
    <t>Ethanol oxidation</t>
  </si>
  <si>
    <t>Aryl hydrocarbon receptor signalling</t>
  </si>
  <si>
    <t>Biogenic amines are oxidatively deaminated to aldehydes by MAOA and MAOB</t>
  </si>
  <si>
    <t>PAOs oxidise polyamines to amines</t>
  </si>
  <si>
    <t>Vitamins</t>
  </si>
  <si>
    <t>Fatty acids</t>
  </si>
  <si>
    <t>Miscellaneous substrates</t>
  </si>
  <si>
    <t>Endogenous sterols</t>
  </si>
  <si>
    <t>Eicosanoids</t>
  </si>
  <si>
    <t>Xenobiotics</t>
  </si>
  <si>
    <t>Sterols are 12-hydroxylated by CYP8B1</t>
  </si>
  <si>
    <t>Aromatic amines can be N-hydroxylated or N-dealkylated by CYP1A2</t>
  </si>
  <si>
    <t>CYP2E1 reactions</t>
  </si>
  <si>
    <t>Phospholipid metabolism</t>
  </si>
  <si>
    <t>Regulation of lipid metabolism by PPARalpha</t>
  </si>
  <si>
    <t>Sphingolipid metabolism</t>
  </si>
  <si>
    <t>Ketone body metabolism</t>
  </si>
  <si>
    <t>Wax and plasmalogen biosynthesis</t>
  </si>
  <si>
    <t>Metabolism of steroids</t>
  </si>
  <si>
    <t>Lipid particle organization</t>
  </si>
  <si>
    <t>Fatty acid metabolism</t>
  </si>
  <si>
    <t>Triglyceride metabolism</t>
  </si>
  <si>
    <t>Biosynthesis of specialized proresolving mediators (SPMs)</t>
  </si>
  <si>
    <t>Glycerophospholipid biosynthesis</t>
  </si>
  <si>
    <t>PI Metabolism</t>
  </si>
  <si>
    <t>Acyl chain remodelling of PC</t>
  </si>
  <si>
    <t>Acyl chain remodeling of CL</t>
  </si>
  <si>
    <t>Acyl chain remodelling of PS</t>
  </si>
  <si>
    <t>Acyl chain remodelling of PE</t>
  </si>
  <si>
    <t>Acyl chain remodeling of DAG and TAG</t>
  </si>
  <si>
    <t>Acyl chain remodelling of PI</t>
  </si>
  <si>
    <t>Acyl chain remodelling of PG</t>
  </si>
  <si>
    <t>Synthesis of CL</t>
  </si>
  <si>
    <t>Synthesis of PS</t>
  </si>
  <si>
    <t>Hydrolysis of LPC</t>
  </si>
  <si>
    <t>Synthesis of PG</t>
  </si>
  <si>
    <t>Hydrolysis of LPE</t>
  </si>
  <si>
    <t>Synthesis of PA</t>
  </si>
  <si>
    <t>Synthesis of BMP</t>
  </si>
  <si>
    <t>Synthesis of PC</t>
  </si>
  <si>
    <t>PI and PC transport between ER and Golgi membranes</t>
  </si>
  <si>
    <t>Synthesis of PE</t>
  </si>
  <si>
    <t>Synthesis of PI</t>
  </si>
  <si>
    <t>Synthesis of PIPs at the ER membrane</t>
  </si>
  <si>
    <t>Synthesis of PIPs at the plasma membrane</t>
  </si>
  <si>
    <t>PIPs transport between early and late endosome membranes</t>
  </si>
  <si>
    <t>PIPs transport between late endosome and Golgi membranes</t>
  </si>
  <si>
    <t>PIPs transport between Golgi and plasma membranes</t>
  </si>
  <si>
    <t>Synthesis of PIPs at the Golgi membrane</t>
  </si>
  <si>
    <t>Synthesis of PIPs at the early endosome membrane</t>
  </si>
  <si>
    <t>Synthesis of PIPs at the late endosome membrane</t>
  </si>
  <si>
    <t>PIPs transport between plasma and early endosome membranes</t>
  </si>
  <si>
    <t>PIPs transport between early endosome and Golgi membranes</t>
  </si>
  <si>
    <t>Glycerophospholipid catabolism</t>
  </si>
  <si>
    <t>Synthesis of PIPs in the nucleus</t>
  </si>
  <si>
    <t>PPARA activates gene expression</t>
  </si>
  <si>
    <t>Sphingolipid de novo biosynthesis</t>
  </si>
  <si>
    <t>Glycosphingolipid metabolism</t>
  </si>
  <si>
    <t>Glycosphingolipid biosynthesis</t>
  </si>
  <si>
    <t>Glycosphingolipid catabolism</t>
  </si>
  <si>
    <t>Utilization of Ketone Bodies</t>
  </si>
  <si>
    <t>Synthesis of Ketone Bodies</t>
  </si>
  <si>
    <t>Plasmalogen biosynthesis</t>
  </si>
  <si>
    <t>Wax biosynthesis</t>
  </si>
  <si>
    <t>Regulation of cholesterol biosynthesis by SREBP (SREBF)</t>
  </si>
  <si>
    <t>Cholesterol biosynthesis</t>
  </si>
  <si>
    <t>Bile acid and bile salt metabolism</t>
  </si>
  <si>
    <t>Metabolism of steroid hormones</t>
  </si>
  <si>
    <t>Vitamin D (calciferol) metabolism</t>
  </si>
  <si>
    <t>Activation of gene expression by SREBF (SREBP)</t>
  </si>
  <si>
    <t>Cholesterol biosynthesis via desmosterol</t>
  </si>
  <si>
    <t>Cholesterol biosynthesis via lathosterol</t>
  </si>
  <si>
    <t>Recycling of bile acids and salts</t>
  </si>
  <si>
    <t>Synthesis of bile acids and bile salts</t>
  </si>
  <si>
    <t>Synthesis of bile acids and bile salts via 7alpha-hydroxycholesterol</t>
  </si>
  <si>
    <t>Synthesis of bile acids and bile salts via 24-hydroxycholesterol</t>
  </si>
  <si>
    <t>Synthesis of bile acids and bile salts via 27-hydroxycholesterol</t>
  </si>
  <si>
    <t>Androgen biosynthesis</t>
  </si>
  <si>
    <t>Estrogen biosynthesis</t>
  </si>
  <si>
    <t>Mineralocorticoid biosynthesis</t>
  </si>
  <si>
    <t>Glucocorticoid biosynthesis</t>
  </si>
  <si>
    <t>Pregnenolone biosynthesis</t>
  </si>
  <si>
    <t>Carnitine metabolism</t>
  </si>
  <si>
    <t>alpha-linolenic (omega3) and linoleic (omega6) acid metabolism</t>
  </si>
  <si>
    <t>Arachidonic acid metabolism</t>
  </si>
  <si>
    <t>Peroxisomal lipid metabolism</t>
  </si>
  <si>
    <t>Fatty acyl-CoA biosynthesis</t>
  </si>
  <si>
    <t>Mitochondrial Fatty Acid Beta-Oxidation</t>
  </si>
  <si>
    <t>Linoleic acid (LA) metabolism</t>
  </si>
  <si>
    <t>alpha-linolenic acid (ALA) metabolism</t>
  </si>
  <si>
    <t>Synthesis of epoxy (EET) and dihydroxyeicosatrienoic acids (DHET)</t>
  </si>
  <si>
    <t>Synthesis of 5-eicosatetraenoic acids</t>
  </si>
  <si>
    <t>Synthesis of Leukotrienes (LT) and Eoxins (EX)</t>
  </si>
  <si>
    <t>Synthesis of Hepoxilins (HX) and Trioxilins (TrX)</t>
  </si>
  <si>
    <t>Synthesis of 12-eicosatetraenoic acid derivatives</t>
  </si>
  <si>
    <t>Synthesis of 15-eicosatetraenoic acid derivatives</t>
  </si>
  <si>
    <t>Synthesis of (16-20)-hydroxyeicosatetraenoic acids (HETE)</t>
  </si>
  <si>
    <t>Synthesis of Prostaglandins (PG) and Thromboxanes (TX)</t>
  </si>
  <si>
    <t>Alpha-oxidation of phytanate</t>
  </si>
  <si>
    <t>Beta-oxidation of pristanoyl-CoA</t>
  </si>
  <si>
    <t>Beta-oxidation of very long chain fatty acids</t>
  </si>
  <si>
    <t>Synthesis of very long-chain fatty acyl-CoAs</t>
  </si>
  <si>
    <t>Propionyl-CoA catabolism</t>
  </si>
  <si>
    <t>mitochondrial fatty acid beta-oxidation of saturated fatty acids</t>
  </si>
  <si>
    <t>mitochondrial fatty acid beta-oxidation of unsaturated fatty acids</t>
  </si>
  <si>
    <t>Beta oxidation of myristoyl-CoA to lauroyl-CoA</t>
  </si>
  <si>
    <t>Beta oxidation of palmitoyl-CoA to myristoyl-CoA</t>
  </si>
  <si>
    <t>Beta oxidation of lauroyl-CoA to decanoyl-CoA-CoA</t>
  </si>
  <si>
    <t>Beta oxidation of decanoyl-CoA to octanoyl-CoA-CoA</t>
  </si>
  <si>
    <t>Beta oxidation of octanoyl-CoA to hexanoyl-CoA</t>
  </si>
  <si>
    <t>Beta oxidation of hexanoyl-CoA to butanoyl-CoA</t>
  </si>
  <si>
    <t>Beta oxidation of butanoyl-CoA to acetyl-CoA</t>
  </si>
  <si>
    <t>Triglyceride catabolism</t>
  </si>
  <si>
    <t>Triglyceride biosynthesis</t>
  </si>
  <si>
    <t>Synthesis of Lipoxins (LX)</t>
  </si>
  <si>
    <t>Biosynthesis of DHA-derived SPMs</t>
  </si>
  <si>
    <t>Biosynthesis of EPA-derived SPMs</t>
  </si>
  <si>
    <t>Biosynthesis of DPA-derived SPMs</t>
  </si>
  <si>
    <t>Biosynthesis of D-series resolvins</t>
  </si>
  <si>
    <t>Biosynthesis of protectins</t>
  </si>
  <si>
    <t>Biosynthesis of maresins</t>
  </si>
  <si>
    <t>Biosynthesis of aspirin-triggered D-series resolvins</t>
  </si>
  <si>
    <t>Biosynthesis of DHA-derived sulfido conjugates</t>
  </si>
  <si>
    <t>Biosynthesis of maresin-like SPMs</t>
  </si>
  <si>
    <t>Biosynthesis of maresin conjugates in tissue regeneration (MCTR)</t>
  </si>
  <si>
    <t>Biosynthesis of protectin and resolvin conjugates in tissue regeneration (PCTR and RCTR)</t>
  </si>
  <si>
    <t>Biosynthesis of E-series 18(S)-resolvins</t>
  </si>
  <si>
    <t>Biosynthesis of E-series 18(R)-resolvins</t>
  </si>
  <si>
    <t>Biosynthesis of DPAn-3 SPMs</t>
  </si>
  <si>
    <t>Biosynthesis of DPAn-6 SPMs</t>
  </si>
  <si>
    <t>Biosynthesis of DPAn-3-derived protectins and resolvins</t>
  </si>
  <si>
    <t>Biosynthesis of DPAn-3-derived maresins</t>
  </si>
  <si>
    <t>Biosynthesis of DPAn-3-derived 13-series resolvins</t>
  </si>
  <si>
    <t>Sulfur amino acid metabolism</t>
  </si>
  <si>
    <t>Metabolism of amine-derived hormones</t>
  </si>
  <si>
    <t>Selenoamino acid metabolism</t>
  </si>
  <si>
    <t>Metabolism of polyamines</t>
  </si>
  <si>
    <t>Glyoxylate metabolism and glycine degradation</t>
  </si>
  <si>
    <t>Melanin biosynthesis</t>
  </si>
  <si>
    <t>Choline catabolism</t>
  </si>
  <si>
    <t>Urea cycle</t>
  </si>
  <si>
    <t>Proline catabolism</t>
  </si>
  <si>
    <t>Branched-chain amino acid catabolism</t>
  </si>
  <si>
    <t>Histidine catabolism</t>
  </si>
  <si>
    <t>Lysine catabolism</t>
  </si>
  <si>
    <t>Tryptophan catabolism</t>
  </si>
  <si>
    <t>Carnitine synthesis</t>
  </si>
  <si>
    <t>Creatine metabolism</t>
  </si>
  <si>
    <t>Threonine catabolism</t>
  </si>
  <si>
    <t>Phenylalanine and tyrosine metabolism</t>
  </si>
  <si>
    <t>Aspartate and asparagine metabolism</t>
  </si>
  <si>
    <t>Glutamate and glutamine metabolism</t>
  </si>
  <si>
    <t>Alanine metabolism</t>
  </si>
  <si>
    <t>Serine biosynthesis</t>
  </si>
  <si>
    <t>Methionine salvage pathway</t>
  </si>
  <si>
    <t>Degradation of cysteine and homocysteine</t>
  </si>
  <si>
    <t>Cysteine formation from homocysteine</t>
  </si>
  <si>
    <t>Sulfide oxidation to sulfate</t>
  </si>
  <si>
    <t>Catecholamine biosynthesis</t>
  </si>
  <si>
    <t>Serotonin and melatonin biosynthesis</t>
  </si>
  <si>
    <t>Thyroxine biosynthesis</t>
  </si>
  <si>
    <t>Regulation of thyroid hormone activity</t>
  </si>
  <si>
    <t>Formation of selenosugars for excretion</t>
  </si>
  <si>
    <t>Metabolism of ingested SeMet, Sec, MeSec into H2Se</t>
  </si>
  <si>
    <t>Metabolism of ingested H2SeO4 and H2SeO3 into H2Se</t>
  </si>
  <si>
    <t>Methylation of MeSeH for excretion</t>
  </si>
  <si>
    <t>Selenocysteine synthesis</t>
  </si>
  <si>
    <t>Metabolism of ingested MeSeO2H into MeSeH</t>
  </si>
  <si>
    <t>Regulation of ornithine decarboxylase (ODC)</t>
  </si>
  <si>
    <t>Agmatine biosynthesis</t>
  </si>
  <si>
    <t>Interconversion of polyamines</t>
  </si>
  <si>
    <t>Glycine degradation</t>
  </si>
  <si>
    <t>Tyrosine catabolism</t>
  </si>
  <si>
    <t>Phenylalanine metabolism</t>
  </si>
  <si>
    <t>Glycosaminoglycan metabolism</t>
  </si>
  <si>
    <t>Fructose metabolism</t>
  </si>
  <si>
    <t>Lactose synthesis</t>
  </si>
  <si>
    <t>Formation of xylulose-5-phosphate</t>
  </si>
  <si>
    <t>Glucose metabolism</t>
  </si>
  <si>
    <t>Galactose catabolism</t>
  </si>
  <si>
    <t>Pentose phosphate pathway</t>
  </si>
  <si>
    <t>Lysosomal oligosaccharide catabolism</t>
  </si>
  <si>
    <t>Glycogen metabolism</t>
  </si>
  <si>
    <t>Blood group systems biosynthesis</t>
  </si>
  <si>
    <t>Keratan sulfate/keratin metabolism</t>
  </si>
  <si>
    <t>Heparan sulfate/heparin (HS-GAG) metabolism</t>
  </si>
  <si>
    <t>Chondroitin sulfate/dermatan sulfate metabolism</t>
  </si>
  <si>
    <t>Hyaluronan metabolism</t>
  </si>
  <si>
    <t>Keratan sulfate biosynthesis</t>
  </si>
  <si>
    <t>Keratan sulfate degradation</t>
  </si>
  <si>
    <t>A tetrasaccharide linker sequence is required for GAG synthesis</t>
  </si>
  <si>
    <t>HS-GAG biosynthesis</t>
  </si>
  <si>
    <t>HS-GAG degradation</t>
  </si>
  <si>
    <t>Chondroitin sulfate biosynthesis</t>
  </si>
  <si>
    <t>Dermatan sulfate biosynthesis</t>
  </si>
  <si>
    <t>CS/DS degradation</t>
  </si>
  <si>
    <t>Hyaluronan biosynthesis and export</t>
  </si>
  <si>
    <t>Hyaluronan uptake and degradation</t>
  </si>
  <si>
    <t>Fructose biosynthesis</t>
  </si>
  <si>
    <t>Fructose catabolism</t>
  </si>
  <si>
    <t>Glycolysis</t>
  </si>
  <si>
    <t>Gluconeogenesis</t>
  </si>
  <si>
    <t>Regulation of Glucokinase by Glucokinase Regulatory Protein</t>
  </si>
  <si>
    <t>Regulation of glycolysis by fructose 2,6-bisphosphate metabolism</t>
  </si>
  <si>
    <t>5-Phosphoribose 1-diphosphate biosynthesis</t>
  </si>
  <si>
    <t>Glycogen synthesis</t>
  </si>
  <si>
    <t>Glycogen breakdown (glycogenolysis)</t>
  </si>
  <si>
    <t>ABO blood group biosynthesis</t>
  </si>
  <si>
    <t>Rhesus blood group biosynthesis</t>
  </si>
  <si>
    <t>Lewis blood group biosynthesis</t>
  </si>
  <si>
    <t>Cytokine Signaling in Immune system</t>
  </si>
  <si>
    <t>Adaptive Immune System</t>
  </si>
  <si>
    <t>Innate Immune System</t>
  </si>
  <si>
    <t>Prolactin receptor signaling</t>
  </si>
  <si>
    <t>Signaling by Interleukins</t>
  </si>
  <si>
    <t>TNFR2 non-canonical NF-kB pathway</t>
  </si>
  <si>
    <t>Interferon Signaling</t>
  </si>
  <si>
    <t>FLT3 Signaling</t>
  </si>
  <si>
    <t>Signaling by CSF3 (G-CSF)</t>
  </si>
  <si>
    <t>Signaling by CSF1 (M-CSF) in myeloid cells</t>
  </si>
  <si>
    <t>Growth hormone receptor signaling</t>
  </si>
  <si>
    <t>Interleukin-7 signaling</t>
  </si>
  <si>
    <t>Interleukin-1 family signaling</t>
  </si>
  <si>
    <t>Interleukin-12 family signaling</t>
  </si>
  <si>
    <t>Interleukin-17 signaling</t>
  </si>
  <si>
    <t>Other interleukin signaling</t>
  </si>
  <si>
    <t>Interleukin-2 family signaling</t>
  </si>
  <si>
    <t>Interleukin-3, Interleukin-5 and GM-CSF signaling</t>
  </si>
  <si>
    <t>Interleukin-6 family signaling</t>
  </si>
  <si>
    <t>Interleukin-10 signaling</t>
  </si>
  <si>
    <t>Interleukin-4 and Interleukin-13 signaling</t>
  </si>
  <si>
    <t>Interleukin-20 family signaling</t>
  </si>
  <si>
    <t>Interleukin-1 processing</t>
  </si>
  <si>
    <t>Interleukin-38 signaling</t>
  </si>
  <si>
    <t>Interleukin-37 signaling</t>
  </si>
  <si>
    <t>Interleukin-18 signaling</t>
  </si>
  <si>
    <t>Interleukin-36 pathway</t>
  </si>
  <si>
    <t>Interleukin-33 signaling</t>
  </si>
  <si>
    <t>Interleukin-1 signaling</t>
  </si>
  <si>
    <t xml:space="preserve">TAK1-dependent IKK and NF-kappa-B activation  </t>
  </si>
  <si>
    <t>MAP3K8 (TPL2)-dependent MAPK1/3 activation</t>
  </si>
  <si>
    <t>Regulation of NF-kappa B signaling</t>
  </si>
  <si>
    <t>Interleukin-35 Signalling</t>
  </si>
  <si>
    <t>Interleukin-12 signaling</t>
  </si>
  <si>
    <t>Interleukin-23 signaling</t>
  </si>
  <si>
    <t>Interleukin-27 signaling</t>
  </si>
  <si>
    <t>Gene and protein expression by JAK-STAT signaling after Interleukin-12 stimulation</t>
  </si>
  <si>
    <t>MAP kinase activation</t>
  </si>
  <si>
    <t>MAPK targets/ Nuclear events mediated by MAP kinases</t>
  </si>
  <si>
    <t>activated TAK1 mediates p38 MAPK activation</t>
  </si>
  <si>
    <t>JNK (c-Jun kinases) phosphorylation and  activation mediated by activated human TAK1</t>
  </si>
  <si>
    <t>Activation of the AP-1 family of transcription factors</t>
  </si>
  <si>
    <t>Interleukin-15 signaling</t>
  </si>
  <si>
    <t>Interleukin-9 signaling</t>
  </si>
  <si>
    <t>Interleukin-2 signaling</t>
  </si>
  <si>
    <t>Interleukin-21 signaling</t>
  </si>
  <si>
    <t>Interleukin receptor SHC signaling</t>
  </si>
  <si>
    <t>Regulation of signaling by CBL</t>
  </si>
  <si>
    <t>Interleukin-6 signaling</t>
  </si>
  <si>
    <t>IL-6-type cytokine receptor ligand interactions</t>
  </si>
  <si>
    <t>TNFs bind their physiological receptors</t>
  </si>
  <si>
    <t>NIK--&gt;noncanonical NF-kB signaling</t>
  </si>
  <si>
    <t>TNF receptor superfamily (TNFSF) members mediating non-canonical NF-kB pathway</t>
  </si>
  <si>
    <t>Antiviral mechanism by IFN-stimulated genes</t>
  </si>
  <si>
    <t>Interferon gamma signaling</t>
  </si>
  <si>
    <t>Interferon alpha/beta signaling</t>
  </si>
  <si>
    <t>ISG15 antiviral mechanism</t>
  </si>
  <si>
    <t>OAS antiviral response</t>
  </si>
  <si>
    <t>PKR-mediated signaling</t>
  </si>
  <si>
    <t>Regulation of IFNG signaling</t>
  </si>
  <si>
    <t>IFNG signaling activates MAPKs</t>
  </si>
  <si>
    <t>Regulation of IFNA/IFNB signaling</t>
  </si>
  <si>
    <t>STAT5 Activation</t>
  </si>
  <si>
    <t>Negative regulation of FLT3</t>
  </si>
  <si>
    <t>FLT3 signaling through SRC family kinases</t>
  </si>
  <si>
    <t>Inactivation of CSF3 (G-CSF) signaling</t>
  </si>
  <si>
    <t>Immunoregulatory interactions between a Lymphoid and a non-Lymphoid cell</t>
  </si>
  <si>
    <t>TCR signaling</t>
  </si>
  <si>
    <t>MHC class II antigen presentation</t>
  </si>
  <si>
    <t>Costimulation by the CD28 family</t>
  </si>
  <si>
    <t>Rap1 signalling</t>
  </si>
  <si>
    <t>Butyrophilin (BTN) family interactions</t>
  </si>
  <si>
    <t>Class I MHC mediated antigen processing &amp; presentation</t>
  </si>
  <si>
    <t>Signaling by the B Cell Receptor (BCR)</t>
  </si>
  <si>
    <t>Downstream TCR signaling</t>
  </si>
  <si>
    <t>Phosphorylation of CD3 and TCR zeta chains</t>
  </si>
  <si>
    <t>Translocation of ZAP-70 to Immunological synapse</t>
  </si>
  <si>
    <t>Generation of second messenger molecules</t>
  </si>
  <si>
    <t>CD28 co-stimulation</t>
  </si>
  <si>
    <t>CTLA4 inhibitory signaling</t>
  </si>
  <si>
    <t>PD-1 signaling</t>
  </si>
  <si>
    <t>CD28 dependent PI3K/Akt signaling</t>
  </si>
  <si>
    <t>CD28 dependent Vav1 pathway</t>
  </si>
  <si>
    <t>Antigen processing-Cross presentation</t>
  </si>
  <si>
    <t>Antigen processing: Ubiquitination &amp; Proteasome degradation</t>
  </si>
  <si>
    <t>Antigen Presentation: Folding, assembly and peptide loading of class I MHC</t>
  </si>
  <si>
    <t>Cross-presentation of particulate exogenous antigens (phagosomes)</t>
  </si>
  <si>
    <t>ER-Phagosome pathway</t>
  </si>
  <si>
    <t>Endosomal/Vacuolar pathway</t>
  </si>
  <si>
    <t>Cross-presentation of soluble exogenous antigens (endosomes)</t>
  </si>
  <si>
    <t>Downstream signaling events of B Cell Receptor (BCR)</t>
  </si>
  <si>
    <t>CD22 mediated BCR regulation</t>
  </si>
  <si>
    <t>Antigen activates B Cell Receptor (BCR) leading to generation of second messengers</t>
  </si>
  <si>
    <t>Activation of NF-kappaB in B cells</t>
  </si>
  <si>
    <t>Activation of RAS in B cells</t>
  </si>
  <si>
    <t>Calcineurin activates NFAT</t>
  </si>
  <si>
    <t>ROS and RNS production in phagocytes</t>
  </si>
  <si>
    <t>Complement cascade</t>
  </si>
  <si>
    <t>Nucleotide-binding domain, leucine rich repeat containing receptor (NLR) signaling pathways</t>
  </si>
  <si>
    <t>Toll-like Receptor Cascades</t>
  </si>
  <si>
    <t>DDX58/IFIH1-mediated induction of interferon-alpha/beta</t>
  </si>
  <si>
    <t xml:space="preserve">Cytosolic sensors of pathogen-associated DNA </t>
  </si>
  <si>
    <t>Fcgamma receptor (FCGR) dependent phagocytosis</t>
  </si>
  <si>
    <t>DAP12 interactions</t>
  </si>
  <si>
    <t>Fc epsilon receptor (FCERI) signaling</t>
  </si>
  <si>
    <t>C-type lectin receptors (CLRs)</t>
  </si>
  <si>
    <t>Neutrophil degranulation</t>
  </si>
  <si>
    <t>Antimicrobial peptides</t>
  </si>
  <si>
    <t>Advanced glycosylation endproduct receptor signaling</t>
  </si>
  <si>
    <t>Alpha-protein kinase 1 signaling pathway</t>
  </si>
  <si>
    <t>Events associated with phagocytolytic activity of PMN cells</t>
  </si>
  <si>
    <t>Initial triggering of complement</t>
  </si>
  <si>
    <t>Terminal pathway of complement</t>
  </si>
  <si>
    <t>Activation of C3 and C5</t>
  </si>
  <si>
    <t>Regulation of Complement cascade</t>
  </si>
  <si>
    <t>Creation of C4 and C2 activators</t>
  </si>
  <si>
    <t>Alternative complement activation</t>
  </si>
  <si>
    <t>Lectin pathway of complement activation</t>
  </si>
  <si>
    <t>Classical antibody-mediated complement activation</t>
  </si>
  <si>
    <t>Ficolins bind to repetitive carbohydrate structures on the target cell surface</t>
  </si>
  <si>
    <t>NOD1/2 Signaling Pathway</t>
  </si>
  <si>
    <t>Inflammasomes</t>
  </si>
  <si>
    <t>The NLRP1 inflammasome</t>
  </si>
  <si>
    <t>The NLRP3 inflammasome</t>
  </si>
  <si>
    <t>The AIM2 inflammasome</t>
  </si>
  <si>
    <t>The IPAF inflammasome</t>
  </si>
  <si>
    <t>Toll Like Receptor 4 (TLR4) Cascade</t>
  </si>
  <si>
    <t>Trafficking and processing of endosomal TLR</t>
  </si>
  <si>
    <t>Toll Like Receptor 9 (TLR9) Cascade</t>
  </si>
  <si>
    <t>Toll Like Receptor 10 (TLR10) Cascade</t>
  </si>
  <si>
    <t>Toll Like Receptor 3 (TLR3) Cascade</t>
  </si>
  <si>
    <t>Toll Like Receptor 5 (TLR5) Cascade</t>
  </si>
  <si>
    <t>Toll Like Receptor 7/8 (TLR7/8) Cascade</t>
  </si>
  <si>
    <t>Toll Like Receptor 2 (TLR2) Cascade</t>
  </si>
  <si>
    <t>Regulation of TLR by endogenous ligand</t>
  </si>
  <si>
    <t>Transfer of LPS from LBP carrier to CD14</t>
  </si>
  <si>
    <t>MyD88:MAL(TIRAP) cascade initiated on plasma membrane</t>
  </si>
  <si>
    <t xml:space="preserve">MyD88-independent TLR4 cascade </t>
  </si>
  <si>
    <t>IRAK1 recruits IKK complex</t>
  </si>
  <si>
    <t>IRAK2 mediated activation of TAK1 complex</t>
  </si>
  <si>
    <t xml:space="preserve">TRIF(TICAM1)-mediated TLR4 signaling </t>
  </si>
  <si>
    <t>TRIF-mediated programmed cell death</t>
  </si>
  <si>
    <t>Activation of IRF3, IRF7 mediated by TBK1, IKBKE</t>
  </si>
  <si>
    <t>IKK complex recruitment mediated by RIP1</t>
  </si>
  <si>
    <t>TRAF6-mediated induction of TAK1 complex within TLR4 complex</t>
  </si>
  <si>
    <t>MyD88 dependent cascade initiated on endosome</t>
  </si>
  <si>
    <t>TRAF6 mediated IRF7 activation in TLR7/8 or 9 signaling</t>
  </si>
  <si>
    <t>TRAF6 mediated induction of NFkB and MAP kinases upon TLR7/8 or 9 activation</t>
  </si>
  <si>
    <t>IRAK1 recruits IKK complex upon TLR7/8 or 9 stimulation</t>
  </si>
  <si>
    <t>IRAK2 mediated activation of TAK1 complex upon TLR7/8 or 9 stimulation</t>
  </si>
  <si>
    <t>MyD88 cascade initiated on plasma membrane</t>
  </si>
  <si>
    <t>TICAM1, RIP1-mediated IKK complex recruitment</t>
  </si>
  <si>
    <t>TLR3-mediated TICAM1-dependent programmed cell death</t>
  </si>
  <si>
    <t>TICAM1-dependent activation of IRF3/IRF7</t>
  </si>
  <si>
    <t>TICAM1,TRAF6-dependent induction of TAK1 complex</t>
  </si>
  <si>
    <t>Toll Like Receptor TLR1:TLR2 Cascade</t>
  </si>
  <si>
    <t>Toll Like Receptor TLR6:TLR2 Cascade</t>
  </si>
  <si>
    <t>TRAF3-dependent IRF activation pathway</t>
  </si>
  <si>
    <t>TRAF6 mediated IRF7 activation</t>
  </si>
  <si>
    <t>TRAF6 mediated NF-kB activation</t>
  </si>
  <si>
    <t>NF-kB activation through FADD/RIP-1 pathway mediated by caspase-8 and -10</t>
  </si>
  <si>
    <t>Negative regulators of DDX58/IFIH1 signaling</t>
  </si>
  <si>
    <t>ZBP1(DAI) mediated induction of type I IFNs</t>
  </si>
  <si>
    <t>STING mediated induction of host immune responses</t>
  </si>
  <si>
    <t xml:space="preserve">DEx/H-box helicases activate type I IFN and inflammatory cytokines production </t>
  </si>
  <si>
    <t>LRR FLII-interacting protein 1 (LRRFIP1) activates type I IFN production</t>
  </si>
  <si>
    <t>Regulation of innate immune responses to cytosolic DNA</t>
  </si>
  <si>
    <t>IRF3 mediated activation of type 1 IFN</t>
  </si>
  <si>
    <t>RIP-mediated NFkB activation via ZBP1</t>
  </si>
  <si>
    <t>STAT6-mediated induction of chemokines</t>
  </si>
  <si>
    <t>IRF3-mediated induction of type I IFN</t>
  </si>
  <si>
    <t>Regulation by TREX1</t>
  </si>
  <si>
    <t>FCGR activation</t>
  </si>
  <si>
    <t>Regulation of actin dynamics for phagocytic cup formation</t>
  </si>
  <si>
    <t>Role of phospholipids in phagocytosis</t>
  </si>
  <si>
    <t>DAP12 signaling</t>
  </si>
  <si>
    <t>Role of LAT2/NTAL/LAB on calcium mobilization</t>
  </si>
  <si>
    <t>FCERI mediated MAPK activation</t>
  </si>
  <si>
    <t>FCERI mediated Ca+2 mobilization</t>
  </si>
  <si>
    <t>FCERI mediated NF-kB activation</t>
  </si>
  <si>
    <t>CLEC7A (Dectin-1) signaling</t>
  </si>
  <si>
    <t>Dectin-2 family</t>
  </si>
  <si>
    <t>CD209 (DC-SIGN) signaling</t>
  </si>
  <si>
    <t>Dectin-1 mediated noncanonical NF-kB signaling</t>
  </si>
  <si>
    <t>CLEC7A (Dectin-1) induces NFAT activation</t>
  </si>
  <si>
    <t>CLEC7A/inflammasome pathway</t>
  </si>
  <si>
    <t>Defensins</t>
  </si>
  <si>
    <t>Metal sequestration by antimicrobial proteins</t>
  </si>
  <si>
    <t>Ion influx/efflux at host-pathogen interface</t>
  </si>
  <si>
    <t>Beta defensins</t>
  </si>
  <si>
    <t>Alpha-defensins</t>
  </si>
  <si>
    <t>Meiosis</t>
  </si>
  <si>
    <t>Cell Cycle, Mitotic</t>
  </si>
  <si>
    <t>Cell Cycle Checkpoints</t>
  </si>
  <si>
    <t>Chromosome Maintenance</t>
  </si>
  <si>
    <t>Meiotic synapsis</t>
  </si>
  <si>
    <t>Meiotic recombination</t>
  </si>
  <si>
    <t>Mitotic G2-G2/M phases</t>
  </si>
  <si>
    <t>Regulation of mitotic cell cycle</t>
  </si>
  <si>
    <t>Mitotic G1 phase and G1/S transition</t>
  </si>
  <si>
    <t>M Phase</t>
  </si>
  <si>
    <t>S Phase</t>
  </si>
  <si>
    <t>G2 Phase</t>
  </si>
  <si>
    <t>G2/M Transition</t>
  </si>
  <si>
    <t>Polo-like kinase mediated events</t>
  </si>
  <si>
    <t>Regulation of PLK1 Activity at G2/M Transition</t>
  </si>
  <si>
    <t>Centrosome maturation</t>
  </si>
  <si>
    <t>Cyclin A/B1/B2 associated events during G2/M transition</t>
  </si>
  <si>
    <t>The role of GTSE1 in G2/M progression after G2 checkpoint</t>
  </si>
  <si>
    <t>FBXL7 down-regulates AURKA during mitotic entry and in early mitosis</t>
  </si>
  <si>
    <t>AURKA Activation by TPX2</t>
  </si>
  <si>
    <t>Interaction between PHLDA1 and AURKA</t>
  </si>
  <si>
    <t>Recruitment of mitotic centrosome proteins and complexes</t>
  </si>
  <si>
    <t>Loss of proteins required for interphase microtubule organization from the centrosome</t>
  </si>
  <si>
    <t>Loss of Nlp from mitotic centrosomes</t>
  </si>
  <si>
    <t>Phosphorylation of proteins involved in the G2/M transition by Cyclin A:Cdc2 complexes</t>
  </si>
  <si>
    <t>APC/C-mediated degradation of cell cycle proteins</t>
  </si>
  <si>
    <t>Autodegradation of Cdh1 by Cdh1:APC/C</t>
  </si>
  <si>
    <t>APC/C:Cdh1 mediated degradation of Cdc20 and other APC/C:Cdh1 targeted proteins in late mitosis/early G1</t>
  </si>
  <si>
    <t>Conversion from APC/C:Cdc20 to APC/C:Cdh1 in late anaphase</t>
  </si>
  <si>
    <t>Regulation of APC/C activators between G1/S and early anaphase</t>
  </si>
  <si>
    <t>Activation of APC/C and APC/C:Cdc20 mediated degradation of mitotic proteins</t>
  </si>
  <si>
    <t>Inhibition of the proteolytic activity of APC/C required for the onset of anaphase by mitotic spindle checkpoint components</t>
  </si>
  <si>
    <t>SCF-beta-TrCP mediated degradation of Emi1</t>
  </si>
  <si>
    <t>Phosphorylation of Emi1</t>
  </si>
  <si>
    <t>Inactivation of APC/C via direct inhibition of the APC/C complex</t>
  </si>
  <si>
    <t>APC/C:Cdc20 mediated degradation of mitotic proteins</t>
  </si>
  <si>
    <t>Phosphorylation of the APC/C</t>
  </si>
  <si>
    <t>APC/C:Cdc20 mediated degradation of Cyclin B</t>
  </si>
  <si>
    <t>APC/C:Cdc20 mediated degradation of Securin</t>
  </si>
  <si>
    <t>APC:Cdc20 mediated degradation of cell cycle proteins prior to satisfation of the cell cycle checkpoint</t>
  </si>
  <si>
    <t>Cdc20:Phospho-APC/C mediated degradation of Cyclin A</t>
  </si>
  <si>
    <t>APC-Cdc20 mediated degradation of Nek2A</t>
  </si>
  <si>
    <t>G0 and Early G1</t>
  </si>
  <si>
    <t>G1/S Transition</t>
  </si>
  <si>
    <t>G1 Phase</t>
  </si>
  <si>
    <t>Transcription of E2F targets under negative control by DREAM complex</t>
  </si>
  <si>
    <t>Transcription of E2F targets under negative control by p107 (RBL1) and p130 (RBL2) in complex with HDAC1</t>
  </si>
  <si>
    <t>E2F mediated regulation of DNA replication</t>
  </si>
  <si>
    <t>Activation of the pre-replicative complex</t>
  </si>
  <si>
    <t xml:space="preserve">Cyclin E associated events during G1/S transition </t>
  </si>
  <si>
    <t>G1/S-Specific Transcription</t>
  </si>
  <si>
    <t>Inhibition of replication initiation of damaged DNA by RB1/E2F1</t>
  </si>
  <si>
    <t>E2F-enabled inhibition of pre-replication complex formation</t>
  </si>
  <si>
    <t>SCF(Skp2)-mediated degradation of p27/p21</t>
  </si>
  <si>
    <t>Phosphorylation of proteins involved in G1/S transition by active Cyclin E:Cdk2 complexes</t>
  </si>
  <si>
    <t>Cyclin D associated events in G1</t>
  </si>
  <si>
    <t>Drug-mediated inhibition of CDK4/CDK6 activity</t>
  </si>
  <si>
    <t>Mitotic Metaphase and Anaphase</t>
  </si>
  <si>
    <t>Mitotic Prophase</t>
  </si>
  <si>
    <t>Mitotic Prometaphase</t>
  </si>
  <si>
    <t>Mitotic Telophase/Cytokinesis</t>
  </si>
  <si>
    <t>Mitotic Metaphase/Anaphase Transition</t>
  </si>
  <si>
    <t>Mitotic Anaphase</t>
  </si>
  <si>
    <t>Separation of Sister Chromatids</t>
  </si>
  <si>
    <t>Nuclear Envelope (NE) Reassembly</t>
  </si>
  <si>
    <t>Initiation of Nuclear Envelope (NE) Reformation</t>
  </si>
  <si>
    <t>Postmitotic nuclear pore complex (NPC) reformation</t>
  </si>
  <si>
    <t>Sealing of the nuclear envelope (NE) by ESCRT-III</t>
  </si>
  <si>
    <t>Golgi Cisternae Pericentriolar Stack Reorganization</t>
  </si>
  <si>
    <t>Condensation of Prophase Chromosomes</t>
  </si>
  <si>
    <t>MASTL Facilitates Mitotic Progression</t>
  </si>
  <si>
    <t>Nuclear Envelope Breakdown</t>
  </si>
  <si>
    <t>Activation of NIMA Kinases NEK9, NEK6, NEK7</t>
  </si>
  <si>
    <t>Nuclear Pore Complex (NPC) Disassembly</t>
  </si>
  <si>
    <t>Depolymerization of the Nuclear Lamina</t>
  </si>
  <si>
    <t>Resolution of Sister Chromatid Cohesion</t>
  </si>
  <si>
    <t>Condensation of Prometaphase Chromosomes</t>
  </si>
  <si>
    <t>Recruitment of NuMA to mitotic centrosomes</t>
  </si>
  <si>
    <t>EML4 and NUDC in mitotic spindle formation</t>
  </si>
  <si>
    <t>Cohesin Loading onto Chromatin</t>
  </si>
  <si>
    <t>Establishment of Sister Chromatid Cohesion</t>
  </si>
  <si>
    <t>Synthesis of DNA</t>
  </si>
  <si>
    <t>Cyclin A:Cdk2-associated events at S phase entry</t>
  </si>
  <si>
    <t>Ubiquitin-dependent degradation of Cyclin D</t>
  </si>
  <si>
    <t>DNA replication initiation</t>
  </si>
  <si>
    <t>Switching of origins to a post-replicative state</t>
  </si>
  <si>
    <t>DNA strand elongation</t>
  </si>
  <si>
    <t>Orc1 removal from chromatin</t>
  </si>
  <si>
    <t>CDK-mediated phosphorylation and removal of Cdc6</t>
  </si>
  <si>
    <t>Unwinding of DNA</t>
  </si>
  <si>
    <t>Leading Strand Synthesis</t>
  </si>
  <si>
    <t>Lagging Strand Synthesis</t>
  </si>
  <si>
    <t>Polymerase switching</t>
  </si>
  <si>
    <t>Processive synthesis on the lagging strand</t>
  </si>
  <si>
    <t>Removal of the Flap Intermediate</t>
  </si>
  <si>
    <t>G2/M Checkpoints</t>
  </si>
  <si>
    <t>G1/S DNA Damage Checkpoints</t>
  </si>
  <si>
    <t>Mitotic Spindle Checkpoint</t>
  </si>
  <si>
    <t>Activation of ATR in response to replication stress</t>
  </si>
  <si>
    <t>G2/M DNA damage checkpoint</t>
  </si>
  <si>
    <t>G2/M DNA replication checkpoint</t>
  </si>
  <si>
    <t>Chk1/Chk2(Cds1) mediated inactivation of Cyclin B:Cdk1 complex</t>
  </si>
  <si>
    <t>p53-Dependent G1/S DNA damage checkpoint</t>
  </si>
  <si>
    <t>p53-Independent G1/S DNA damage checkpoint</t>
  </si>
  <si>
    <t>p53-Dependent G1 DNA Damage Response</t>
  </si>
  <si>
    <t>Stabilization of p53</t>
  </si>
  <si>
    <t xml:space="preserve">Transcriptional activation of p53 responsive genes  </t>
  </si>
  <si>
    <t>Autodegradation of the E3 ubiquitin ligase COP1</t>
  </si>
  <si>
    <t xml:space="preserve">Transcriptional  activation of  cell cycle inhibitor p21 </t>
  </si>
  <si>
    <t>p53-Independent DNA Damage Response</t>
  </si>
  <si>
    <t>Ubiquitin Mediated Degradation of Phosphorylated Cdc25A</t>
  </si>
  <si>
    <t>Amplification of signal from the kinetochores</t>
  </si>
  <si>
    <t>Amplification  of signal from unattached  kinetochores via a MAD2  inhibitory signal</t>
  </si>
  <si>
    <t>Telomere Maintenance</t>
  </si>
  <si>
    <t>Nucleosome assembly</t>
  </si>
  <si>
    <t>Packaging Of Telomere Ends</t>
  </si>
  <si>
    <t>Extension of Telomeres</t>
  </si>
  <si>
    <t>Inhibition of DNA recombination at telomere</t>
  </si>
  <si>
    <t>Telomere Extension By Telomerase</t>
  </si>
  <si>
    <t>Telomere C-strand (Lagging Strand) Synthesis</t>
  </si>
  <si>
    <t>Polymerase switching on the C-strand of the telomere</t>
  </si>
  <si>
    <t>Processive synthesis on the C-strand of the telomere</t>
  </si>
  <si>
    <t>Telomere C-strand synthesis initiation</t>
  </si>
  <si>
    <t>Removal of the Flap Intermediate from the C-strand</t>
  </si>
  <si>
    <t>Deposition of new CENPA-containing nucleosomes at the centromere</t>
  </si>
  <si>
    <t>Gene Silencing by RNA</t>
  </si>
  <si>
    <t>Epigenetic regulation of gene expression</t>
  </si>
  <si>
    <t>RNA Polymerase II Transcription</t>
  </si>
  <si>
    <t>RNA Polymerase I Transcription</t>
  </si>
  <si>
    <t>RNA Polymerase III Transcription</t>
  </si>
  <si>
    <t>Transcription from mitochondrial promoters</t>
  </si>
  <si>
    <t>MicroRNA (miRNA) biogenesis</t>
  </si>
  <si>
    <t>Small interfering RNA (siRNA) biogenesis</t>
  </si>
  <si>
    <t>Post-transcriptional silencing by small RNAs</t>
  </si>
  <si>
    <t>Transcriptional regulation by small RNAs</t>
  </si>
  <si>
    <t>PIWI-interacting RNA (piRNA) biogenesis</t>
  </si>
  <si>
    <t>tRNA-derived small RNA (tsRNA or tRNA-related fragment, tRF) biogenesis</t>
  </si>
  <si>
    <t>PRC2 methylates histones and DNA</t>
  </si>
  <si>
    <t>TET1,2,3 and TDG demethylate DNA</t>
  </si>
  <si>
    <t>Positive epigenetic regulation of rRNA expression</t>
  </si>
  <si>
    <t>Negative epigenetic regulation of rRNA expression</t>
  </si>
  <si>
    <t>DNA methylation</t>
  </si>
  <si>
    <t>Formation of WDR5-containing histone-modifying complexes</t>
  </si>
  <si>
    <t>ERCC6 (CSB) and EHMT2 (G9a) positively regulate rRNA expression</t>
  </si>
  <si>
    <t>B-WICH complex positively regulates rRNA expression</t>
  </si>
  <si>
    <t>SIRT1 negatively regulates rRNA expression</t>
  </si>
  <si>
    <t>NoRC negatively regulates rRNA expression</t>
  </si>
  <si>
    <t>Generic Transcription Pathway</t>
  </si>
  <si>
    <t>RNA Polymerase II Pre-transcription Events</t>
  </si>
  <si>
    <t>RNA polymerase II transcribes snRNA genes</t>
  </si>
  <si>
    <t>RNA Polymerase II Transcription Pre-Initiation And Promoter Opening</t>
  </si>
  <si>
    <t>RNA Polymerase II Transcription Termination</t>
  </si>
  <si>
    <t>RNA Polymerase II Transcription Elongation</t>
  </si>
  <si>
    <t>RNA Polymerase II Transcription Initiation And Promoter Clearance</t>
  </si>
  <si>
    <t>RNA Pol II CTD phosphorylation and interaction with CE</t>
  </si>
  <si>
    <t>YAP1- and WWTR1 (TAZ)-stimulated gene expression</t>
  </si>
  <si>
    <t>Notch-HLH transcription pathway</t>
  </si>
  <si>
    <t>Transcriptional Regulation by TP53</t>
  </si>
  <si>
    <t>Nuclear Receptor transcription pathway</t>
  </si>
  <si>
    <t>Transcriptional Regulation by VENTX</t>
  </si>
  <si>
    <t>Transcriptional regulation by the AP-2 (TFAP2) family of transcription factors</t>
  </si>
  <si>
    <t>Transcriptional regulation by RUNX3</t>
  </si>
  <si>
    <t>Transcriptional regulation by RUNX2</t>
  </si>
  <si>
    <t>Transcriptional regulation by RUNX1</t>
  </si>
  <si>
    <t>Transcriptional Regulation by E2F6</t>
  </si>
  <si>
    <t>Transcriptional Regulation by MECP2</t>
  </si>
  <si>
    <t>FOXO-mediated transcription</t>
  </si>
  <si>
    <t>Transcriptional Regulation by NPAS4</t>
  </si>
  <si>
    <t>TP53 Regulates Metabolic Genes</t>
  </si>
  <si>
    <t>Regulation of TP53 Activity</t>
  </si>
  <si>
    <t>TP53 Regulates Transcription of Cell Death Genes</t>
  </si>
  <si>
    <t>TP53 Regulates Transcription of Cell Cycle Genes</t>
  </si>
  <si>
    <t>TP53 Regulates Transcription of DNA Repair Genes</t>
  </si>
  <si>
    <t>Regulation of TP53 Activity through Phosphorylation</t>
  </si>
  <si>
    <t>Regulation of TP53 Activity through Acetylation</t>
  </si>
  <si>
    <t>Regulation of TP53 Activity through Association with Co-factors</t>
  </si>
  <si>
    <t>Regulation of TP53 Activity through Methylation</t>
  </si>
  <si>
    <t>Regulation of TP53 Expression and Degradation</t>
  </si>
  <si>
    <t>PI5P Regulates TP53 Acetylation</t>
  </si>
  <si>
    <t>Regulation of TP53 Expression</t>
  </si>
  <si>
    <t>Regulation of TP53 Degradation</t>
  </si>
  <si>
    <t>TP53 Regulates Transcription of Genes Involved in Cytochrome C Release</t>
  </si>
  <si>
    <t>TP53 regulates transcription of several additional cell death genes whose specific roles in p53-dependent apoptosis remain uncertain</t>
  </si>
  <si>
    <t>TP53 Regulates Transcription of Caspase Activators and Caspases</t>
  </si>
  <si>
    <t>TP53 Regulates Transcription of Death Receptors and Ligands</t>
  </si>
  <si>
    <t>TP53 Regulates Transcription of Genes Involved in G2 Cell Cycle Arrest</t>
  </si>
  <si>
    <t>TP53 regulates transcription of additional cell cycle genes whose exact role in the p53 pathway remain uncertain</t>
  </si>
  <si>
    <t>TP53 Regulates Transcription of Genes Involved in G1 Cell Cycle Arrest</t>
  </si>
  <si>
    <t>Negative regulation of activity of TFAP2 (AP-2) family transcription factors</t>
  </si>
  <si>
    <t>TFAP2 (AP-2) family regulates transcription of other transcription factors</t>
  </si>
  <si>
    <t>Activation of the TFAP2 (AP-2) family of transcription factors</t>
  </si>
  <si>
    <t>TFAP2 (AP-2) family regulates transcription of growth factors and their receptors</t>
  </si>
  <si>
    <t>TFAP2 (AP-2) family regulates transcription of cell cycle factors</t>
  </si>
  <si>
    <t>TFAP2A acts as a transcriptional repressor during retinoic acid induced cell differentiation</t>
  </si>
  <si>
    <t>RUNX3 regulates CDKN1A transcription</t>
  </si>
  <si>
    <t>RUNX3 regulates NOTCH signaling</t>
  </si>
  <si>
    <t>Regulation of RUNX3 expression and activity</t>
  </si>
  <si>
    <t>RUNX3 Regulates Immune Response and Cell Migration</t>
  </si>
  <si>
    <t>RUNX3 regulates WNT signaling</t>
  </si>
  <si>
    <t>RUNX3 regulates YAP1-mediated transcription</t>
  </si>
  <si>
    <t>RUNX3 regulates RUNX1-mediated transcription</t>
  </si>
  <si>
    <t>RUNX3 regulates p14-ARF</t>
  </si>
  <si>
    <t>RUNX3 regulates BCL2L11 (BIM) transcription</t>
  </si>
  <si>
    <t>Regulation of RUNX2 expression and activity</t>
  </si>
  <si>
    <t>RUNX2 regulates bone development</t>
  </si>
  <si>
    <t>RUNX2 regulates genes involved in cell migration</t>
  </si>
  <si>
    <t>RUNX2 regulates genes involved in differentiation of myeloid cells</t>
  </si>
  <si>
    <t>RUNX2 regulates osteoblast differentiation</t>
  </si>
  <si>
    <t>RUNX2 regulates chondrocyte maturation</t>
  </si>
  <si>
    <t>RUNX1 and FOXP3 control the development of regulatory T lymphocytes (Tregs)</t>
  </si>
  <si>
    <t>RUNX1 regulates estrogen receptor mediated transcription</t>
  </si>
  <si>
    <t>Regulation of RUNX1 Expression and Activity</t>
  </si>
  <si>
    <t>RUNX1 regulates expression of components of tight junctions</t>
  </si>
  <si>
    <t>RUNX1 regulates genes involved in megakaryocyte differentiation and platelet function</t>
  </si>
  <si>
    <t>RUNX1 regulates transcription of genes involved in differentiation of HSCs</t>
  </si>
  <si>
    <t>RUNX1 regulates transcription of genes involved in differentiation of keratinocytes</t>
  </si>
  <si>
    <t>RUNX1 interacts with co-factors whose precise effect on RUNX1 targets is not known</t>
  </si>
  <si>
    <t>RUNX1 regulates transcription of genes involved in BCR signaling</t>
  </si>
  <si>
    <t>RUNX1 regulates transcription of genes involved in differentiation of myeloid cells</t>
  </si>
  <si>
    <t>RUNX1 regulates transcription of genes involved in interleukin signaling</t>
  </si>
  <si>
    <t>RUNX1 regulates transcription of genes involved in WNT signaling</t>
  </si>
  <si>
    <t>Regulation of MECP2 expression and activity</t>
  </si>
  <si>
    <t>MECP2 regulates neuronal receptors and channels</t>
  </si>
  <si>
    <t>MECP2 regulates transcription of neuronal ligands</t>
  </si>
  <si>
    <t>MECP2 regulates transcription factors</t>
  </si>
  <si>
    <t>MECP2 regulates transcription of genes involved in GABA signaling</t>
  </si>
  <si>
    <t>Regulation of localization of FOXO transcription factors</t>
  </si>
  <si>
    <t>FOXO-mediated transcription of cell death genes</t>
  </si>
  <si>
    <t>FOXO-mediated transcription of oxidative stress, metabolic and neuronal genes</t>
  </si>
  <si>
    <t>Regulation of FOXO transcriptional activity by acetylation</t>
  </si>
  <si>
    <t>FOXO-mediated transcription of cell cycle genes</t>
  </si>
  <si>
    <t>Regulation of NPAS4 gene expression</t>
  </si>
  <si>
    <t>NPAS4 regulates expression of target genes</t>
  </si>
  <si>
    <t>Regulation of NPAS4 gene transcription</t>
  </si>
  <si>
    <t>Regulation of NPAS4 mRNA translation</t>
  </si>
  <si>
    <t xml:space="preserve">Formation of RNA Pol II elongation complex </t>
  </si>
  <si>
    <t>Formation of the Early Elongation Complex</t>
  </si>
  <si>
    <t>RNA Polymerase II Promoter Escape</t>
  </si>
  <si>
    <t>RNA Polymerase II Transcription Initiation</t>
  </si>
  <si>
    <t>RNA Polymerase I Promoter Clearance</t>
  </si>
  <si>
    <t>RNA Polymerase I Transcription Termination</t>
  </si>
  <si>
    <t>RNA Polymerase I Promoter Opening</t>
  </si>
  <si>
    <t>RNA Polymerase I Transcription Initiation</t>
  </si>
  <si>
    <t>RNA Polymerase I Promoter Escape</t>
  </si>
  <si>
    <t>RNA Polymerase III Chain Elongation</t>
  </si>
  <si>
    <t>RNA Polymerase III Transcription Termination</t>
  </si>
  <si>
    <t>RNA Polymerase III Abortive And Retractive Initiation</t>
  </si>
  <si>
    <t>RNA Polymerase III Transcription Initiation</t>
  </si>
  <si>
    <t>RNA Polymerase III Transcription Initiation From Type 1 Promoter</t>
  </si>
  <si>
    <t>RNA Polymerase III Transcription Initiation From Type 2 Promoter</t>
  </si>
  <si>
    <t>RNA Polymerase III Transcription Initiation From Type 3 Promoter</t>
  </si>
  <si>
    <t>Mitochondrial transcription initiation</t>
  </si>
  <si>
    <t>Mitochondrial transcription termination</t>
  </si>
  <si>
    <t>Peptide hormone metabolism</t>
  </si>
  <si>
    <t>Regulation of Insulin-like Growth Factor (IGF) transport and uptake by Insulin-like Growth Factor Binding Proteins (IGFBPs)</t>
  </si>
  <si>
    <t>Protein folding</t>
  </si>
  <si>
    <t>Protein repair</t>
  </si>
  <si>
    <t>Surfactant metabolism</t>
  </si>
  <si>
    <t>Post-translational protein modification</t>
  </si>
  <si>
    <t>Translation</t>
  </si>
  <si>
    <t>Amyloid fiber formation</t>
  </si>
  <si>
    <t>Metabolism of Angiotensinogen to Angiotensins</t>
  </si>
  <si>
    <t>Peptide hormone biosynthesis</t>
  </si>
  <si>
    <t>Insulin processing</t>
  </si>
  <si>
    <t>Incretin synthesis, secretion, and inactivation</t>
  </si>
  <si>
    <t>Synthesis, secretion, and deacylation of Ghrelin</t>
  </si>
  <si>
    <t>Glycoprotein hormones</t>
  </si>
  <si>
    <t>Synthesis, secretion, and inactivation of Glucagon-like Peptide-1 (GLP-1)</t>
  </si>
  <si>
    <t>Synthesis, secretion, and inactivation of Glucose-dependent Insulinotropic Polypeptide (GIP)</t>
  </si>
  <si>
    <t>Post-chaperonin tubulin folding pathway</t>
  </si>
  <si>
    <t>Chaperonin-mediated protein folding</t>
  </si>
  <si>
    <t>Cooperation of Prefoldin and TriC/CCT  in actin and tubulin folding</t>
  </si>
  <si>
    <t>Association of TriC/CCT with target proteins during biosynthesis</t>
  </si>
  <si>
    <t>Cooperation of PDCL (PhLP1) and TRiC/CCT in G-protein beta folding</t>
  </si>
  <si>
    <t>Prefoldin mediated transfer of substrate  to CCT/TriC</t>
  </si>
  <si>
    <t>Formation of tubulin folding intermediates by CCT/TriC</t>
  </si>
  <si>
    <t>Folding of actin by CCT/TriC</t>
  </si>
  <si>
    <t>Post-translational modification: synthesis of GPI-anchored proteins</t>
  </si>
  <si>
    <t>Gamma carboxylation, hypusinylation, hydroxylation, and arylsulfatase activation</t>
  </si>
  <si>
    <t>SUMOylation</t>
  </si>
  <si>
    <t>Asparagine N-linked glycosylation</t>
  </si>
  <si>
    <t>O-linked glycosylation</t>
  </si>
  <si>
    <t>Deubiquitination</t>
  </si>
  <si>
    <t>Protein ubiquitination</t>
  </si>
  <si>
    <t>RAB geranylgeranylation</t>
  </si>
  <si>
    <t>Protein methylation</t>
  </si>
  <si>
    <t>Neddylation</t>
  </si>
  <si>
    <t>Carboxyterminal post-translational modifications of tubulin</t>
  </si>
  <si>
    <t>Post-translational protein phosphorylation</t>
  </si>
  <si>
    <t>Synthesis of dolichyl-phosphate mannose</t>
  </si>
  <si>
    <t>Synthesis of glycosylphosphatidylinositol (GPI)</t>
  </si>
  <si>
    <t>Attachment of GPI anchor to uPAR</t>
  </si>
  <si>
    <t>Gamma-carboxylation, transport, and amino-terminal cleavage of proteins</t>
  </si>
  <si>
    <t>The activation of arylsulfatases</t>
  </si>
  <si>
    <t>Hypusine synthesis from eIF5A-lysine</t>
  </si>
  <si>
    <t>Synthesis of diphthamide-EEF2</t>
  </si>
  <si>
    <t>Protein hydroxylation</t>
  </si>
  <si>
    <t>Gamma-carboxylation of protein precursors</t>
  </si>
  <si>
    <t>Transport of gamma-carboxylated protein precursors from the endoplasmic reticulum to the Golgi apparatus</t>
  </si>
  <si>
    <t>Removal of aminoterminal propeptides from gamma-carboxylated proteins</t>
  </si>
  <si>
    <t>SUMO E3 ligases SUMOylate target proteins</t>
  </si>
  <si>
    <t>Processing and activation of SUMO</t>
  </si>
  <si>
    <t>SUMOylation of DNA damage response and repair proteins</t>
  </si>
  <si>
    <t>SUMOylation of transcription factors</t>
  </si>
  <si>
    <t>SUMOylation of ubiquitinylation proteins</t>
  </si>
  <si>
    <t>SUMOylation of transcription cofactors</t>
  </si>
  <si>
    <t>SUMOylation of SUMOylation proteins</t>
  </si>
  <si>
    <t>SUMOylation of intracellular receptors</t>
  </si>
  <si>
    <t>SUMOylation of chromatin organization proteins</t>
  </si>
  <si>
    <t>SUMOylation of RNA binding proteins</t>
  </si>
  <si>
    <t>SUMOylation of DNA replication proteins</t>
  </si>
  <si>
    <t>SUMOylation of DNA methylation proteins</t>
  </si>
  <si>
    <t>SUMOylation of immune response proteins</t>
  </si>
  <si>
    <t>SUMOylation of nuclear envelope proteins</t>
  </si>
  <si>
    <t>SUMO is conjugated to E1 (UBA2:SAE1)</t>
  </si>
  <si>
    <t>SUMO is transferred from E1 to E2 (UBE2I, UBC9)</t>
  </si>
  <si>
    <t>SUMO is proteolytically processed</t>
  </si>
  <si>
    <t>Biosynthesis of the N-glycan precursor (dolichol lipid-linked oligosaccharide, LLO) and transfer to a nascent protein</t>
  </si>
  <si>
    <t>N-glycan trimming in the ER and Calnexin/Calreticulin cycle</t>
  </si>
  <si>
    <t>Transport to the Golgi and subsequent modification</t>
  </si>
  <si>
    <t>Synthesis of substrates in N-glycan biosythesis</t>
  </si>
  <si>
    <t>Sialic acid metabolism</t>
  </si>
  <si>
    <t>Synthesis of Dolichyl-phosphate</t>
  </si>
  <si>
    <t>Synthesis of GDP-mannose</t>
  </si>
  <si>
    <t>Synthesis of UDP-N-acetyl-glucosamine</t>
  </si>
  <si>
    <t>Synthesis of dolichyl-phosphate-glucose</t>
  </si>
  <si>
    <t>GDP-fucose biosynthesis</t>
  </si>
  <si>
    <t>Calnexin/calreticulin cycle</t>
  </si>
  <si>
    <t>ER Quality Control Compartment (ERQC)</t>
  </si>
  <si>
    <t>ER to Golgi Anterograde Transport</t>
  </si>
  <si>
    <t>N-glycan trimming and elongation in the cis-Golgi</t>
  </si>
  <si>
    <t>N-glycan antennae elongation in the medial/trans-Golgi</t>
  </si>
  <si>
    <t>COPII-mediated vesicle transport</t>
  </si>
  <si>
    <t>Cargo concentration in the ER</t>
  </si>
  <si>
    <t>COPI-mediated anterograde transport</t>
  </si>
  <si>
    <t>Progressive trimming of alpha-1,2-linked mannose residues from Man9/8/7GlcNAc2 to produce Man5GlcNAc2</t>
  </si>
  <si>
    <t>Reactions specific to the hybrid N-glycan synthesis pathway</t>
  </si>
  <si>
    <t>N-Glycan antennae elongation</t>
  </si>
  <si>
    <t>Reactions specific to the complex N-glycan synthesis pathway</t>
  </si>
  <si>
    <t>O-glycosylation of TSR domain-containing proteins</t>
  </si>
  <si>
    <t>O-linked glycosylation of mucins</t>
  </si>
  <si>
    <t>Termination of O-glycan biosynthesis</t>
  </si>
  <si>
    <t>UCH proteinases</t>
  </si>
  <si>
    <t>Josephin domain DUBs</t>
  </si>
  <si>
    <t>Ub-specific processing proteases</t>
  </si>
  <si>
    <t>Ovarian tumor domain proteases</t>
  </si>
  <si>
    <t>Metalloprotease DUBs</t>
  </si>
  <si>
    <t>Synthesis of active ubiquitin: roles of E1 and E2 enzymes</t>
  </si>
  <si>
    <t>E3 ubiquitin ligases ubiquitinate target proteins</t>
  </si>
  <si>
    <t>Eukaryotic Translation Elongation</t>
  </si>
  <si>
    <t>SRP-dependent cotranslational protein targeting to membrane</t>
  </si>
  <si>
    <t>tRNA Aminoacylation</t>
  </si>
  <si>
    <t>Mitochondrial translation</t>
  </si>
  <si>
    <t>Eukaryotic Translation Initiation</t>
  </si>
  <si>
    <t>Eukaryotic Translation Termination</t>
  </si>
  <si>
    <t>Peptide chain elongation</t>
  </si>
  <si>
    <t>Cytosolic tRNA aminoacylation</t>
  </si>
  <si>
    <t>Mitochondrial tRNA aminoacylation</t>
  </si>
  <si>
    <t>Mitochondrial translation initiation</t>
  </si>
  <si>
    <t>Mitochondrial translation elongation</t>
  </si>
  <si>
    <t>Mitochondrial translation termination</t>
  </si>
  <si>
    <t>L13a-mediated translational silencing of Ceruloplasmin expression</t>
  </si>
  <si>
    <t>Cap-dependent Translation Initiation</t>
  </si>
  <si>
    <t>Activation of the mRNA upon binding of the cap-binding complex and eIFs, and subsequent binding to 43S</t>
  </si>
  <si>
    <t>Formation of a pool of free 40S subunits</t>
  </si>
  <si>
    <t>Formation of the ternary complex, and subsequently, the 43S complex</t>
  </si>
  <si>
    <t>Ribosomal scanning and start codon recognition</t>
  </si>
  <si>
    <t>GTP hydrolysis and joining of the 60S ribosomal subunit</t>
  </si>
  <si>
    <t>Recycling of eIF2:GDP</t>
  </si>
  <si>
    <t>Translation initiation complex formation</t>
  </si>
  <si>
    <t xml:space="preserve">Transmission across Electrical Synapses </t>
  </si>
  <si>
    <t>Transmission across Chemical Synapses</t>
  </si>
  <si>
    <t>Potassium Channels</t>
  </si>
  <si>
    <t>Protein-protein interactions at synapses</t>
  </si>
  <si>
    <t>Electric Transmission Across Gap Junctions</t>
  </si>
  <si>
    <t>Presynaptic depolarization and calcium channel opening</t>
  </si>
  <si>
    <t>Neurotransmitter release cycle</t>
  </si>
  <si>
    <t>Neurotransmitter clearance</t>
  </si>
  <si>
    <t>Neurotransmitter uptake and metabolism In glial cells</t>
  </si>
  <si>
    <t>Neurotransmitter receptors and postsynaptic signal transmission</t>
  </si>
  <si>
    <t>Serotonin Neurotransmitter Release Cycle</t>
  </si>
  <si>
    <t>Norepinephrine Neurotransmitter Release Cycle</t>
  </si>
  <si>
    <t>Glutamate Neurotransmitter Release Cycle</t>
  </si>
  <si>
    <t>Dopamine Neurotransmitter Release Cycle</t>
  </si>
  <si>
    <t>Acetylcholine Neurotransmitter Release Cycle</t>
  </si>
  <si>
    <t>GABA synthesis, release, reuptake and degradation</t>
  </si>
  <si>
    <t>GABA synthesis</t>
  </si>
  <si>
    <t>Reuptake of GABA</t>
  </si>
  <si>
    <t>Degradation of GABA</t>
  </si>
  <si>
    <t>Dopamine clearance from the synaptic cleft</t>
  </si>
  <si>
    <t>Serotonin clearance from the synaptic cleft</t>
  </si>
  <si>
    <t>Enzymatic degradation of dopamine by COMT</t>
  </si>
  <si>
    <t>Enzymatic degradation of Dopamine by monoamine oxidase</t>
  </si>
  <si>
    <t>Metabolism of serotonin</t>
  </si>
  <si>
    <t>Astrocytic Glutamate-Glutamine Uptake And Metabolism</t>
  </si>
  <si>
    <t>Acetylcholine binding and downstream events</t>
  </si>
  <si>
    <t>Glutamate binding, activation of AMPA receptors and synaptic plasticity</t>
  </si>
  <si>
    <t>Activation of NMDA receptors and postsynaptic events</t>
  </si>
  <si>
    <t>Activation of kainate receptors upon glutamate binding</t>
  </si>
  <si>
    <t>GABA receptor activation</t>
  </si>
  <si>
    <t>Presynaptic nicotinic acetylcholine receptors</t>
  </si>
  <si>
    <t>Postsynaptic nicotinic acetylcholine receptors</t>
  </si>
  <si>
    <t>Highly sodium permeable postsynaptic acetylcholine nicotinic receptors</t>
  </si>
  <si>
    <t>Highly calcium permeable nicotinic acetylcholine receptors</t>
  </si>
  <si>
    <t>Highly calcium permeable postsynaptic nicotinic acetylcholine receptors</t>
  </si>
  <si>
    <t>Activation of AMPA receptors</t>
  </si>
  <si>
    <t>Trafficking of AMPA receptors</t>
  </si>
  <si>
    <t>Trafficking of GluR2-containing AMPA receptors</t>
  </si>
  <si>
    <t>Post NMDA receptor activation events</t>
  </si>
  <si>
    <t>Unblocking of NMDA receptors, glutamate binding and activation</t>
  </si>
  <si>
    <t>Assembly and cell surface presentation of NMDA receptors</t>
  </si>
  <si>
    <t>Negative regulation of NMDA receptor-mediated neuronal transmission</t>
  </si>
  <si>
    <t>CREB1 phosphorylation through the activation of Adenylate Cyclase</t>
  </si>
  <si>
    <t>CREB1 phosphorylation through the activation of CaMKII/CaMKK/CaMKIV cascasde</t>
  </si>
  <si>
    <t>CREB1 phosphorylation through NMDA receptor-mediated activation of RAS signaling</t>
  </si>
  <si>
    <t>Activation of RAC1 downstream of NMDARs</t>
  </si>
  <si>
    <t>Activation of AMPK downstream of NMDARs</t>
  </si>
  <si>
    <t>Long-term potentiation</t>
  </si>
  <si>
    <t>Ras activation upon Ca2+ influx through NMDA receptor</t>
  </si>
  <si>
    <t>RSK activation</t>
  </si>
  <si>
    <t>Ionotropic activity of kainate receptors</t>
  </si>
  <si>
    <t>Presynaptic function of Kainate receptors</t>
  </si>
  <si>
    <t>Activation of Na-permeable kainate receptors</t>
  </si>
  <si>
    <t>Activation of Ca-permeable Kainate Receptor</t>
  </si>
  <si>
    <t>GABA B receptor activation</t>
  </si>
  <si>
    <t>Activation of GABAB receptors</t>
  </si>
  <si>
    <t>Inhibition  of voltage gated Ca2+ channels via Gbeta/gamma subunits</t>
  </si>
  <si>
    <t>Ca2+ activated K+ channels</t>
  </si>
  <si>
    <t>HCN channels</t>
  </si>
  <si>
    <t>Inwardly rectifying K+ channels</t>
  </si>
  <si>
    <t>Voltage gated Potassium channels</t>
  </si>
  <si>
    <t>Tandem pore domain potassium channels</t>
  </si>
  <si>
    <t>ATP sensitive Potassium channels</t>
  </si>
  <si>
    <t>Classical Kir channels</t>
  </si>
  <si>
    <t>G protein gated Potassium channels</t>
  </si>
  <si>
    <t>Potassium transport channels</t>
  </si>
  <si>
    <t>Activation of G protein gated Potassium channels</t>
  </si>
  <si>
    <t>Tandem pore domain halothane-inhibited K+ channel (THIK)</t>
  </si>
  <si>
    <t>Tandem of pore domain in a weak inwardly rectifying K+ channels (TWIK)</t>
  </si>
  <si>
    <t>TWIK-releated acid-sensitive K+ channel (TASK)</t>
  </si>
  <si>
    <t>TWIK-related spinal cord K+ channel (TRESK)</t>
  </si>
  <si>
    <t>TWIK-related alkaline pH activated K+ channel (TALK)</t>
  </si>
  <si>
    <t>TWIK related potassium channel (TREK)</t>
  </si>
  <si>
    <t>Receptor-type tyrosine-protein phosphatases</t>
  </si>
  <si>
    <t>Neurexins and neuroligins</t>
  </si>
  <si>
    <t>Synaptic adhesion-like molecules</t>
  </si>
  <si>
    <t>Signaling by NODAL</t>
  </si>
  <si>
    <t>Regulation of beta-cell development</t>
  </si>
  <si>
    <t>Transcriptional regulation of white adipocyte differentiation</t>
  </si>
  <si>
    <t>Transcriptional regulation of pluripotent stem cells</t>
  </si>
  <si>
    <t>Myogenesis</t>
  </si>
  <si>
    <t>Activation of HOX genes during differentiation</t>
  </si>
  <si>
    <t>LGI-ADAM interactions</t>
  </si>
  <si>
    <t>Keratinization</t>
  </si>
  <si>
    <t>Transcriptional regulation of granulopoiesis</t>
  </si>
  <si>
    <t>Nervous system development</t>
  </si>
  <si>
    <t>Transcriptional regulation of testis differentiation</t>
  </si>
  <si>
    <t>Cardiogenesis</t>
  </si>
  <si>
    <t>Gastrulation</t>
  </si>
  <si>
    <t>Maternal to zygotic transition (MZT)</t>
  </si>
  <si>
    <t>Regulation of signaling by NODAL</t>
  </si>
  <si>
    <t>Regulation of gene expression in late stage (branching morphogenesis) pancreatic bud precursor cells</t>
  </si>
  <si>
    <t>Regulation of gene expression in beta cells</t>
  </si>
  <si>
    <t>Regulation of gene expression in endocrine-committed (NEUROG3+) progenitor cells</t>
  </si>
  <si>
    <t>Regulation of gene expression in early pancreatic precursor cells</t>
  </si>
  <si>
    <t>AKT-mediated inactivation of FOXO1A</t>
  </si>
  <si>
    <t>POU5F1 (OCT4), SOX2, NANOG repress genes related to differentiation</t>
  </si>
  <si>
    <t>POU5F1 (OCT4), SOX2, NANOG activate genes related to proliferation</t>
  </si>
  <si>
    <t>Activation of anterior HOX genes in hindbrain development during early embryogenesis</t>
  </si>
  <si>
    <t>Formation of the cornified envelope</t>
  </si>
  <si>
    <t>Axon guidance</t>
  </si>
  <si>
    <t>EGR2 and SOX10-mediated initiation of Schwann cell myelination</t>
  </si>
  <si>
    <t>EPH-Ephrin signaling</t>
  </si>
  <si>
    <t>Netrin-1 signaling</t>
  </si>
  <si>
    <t>Semaphorin interactions</t>
  </si>
  <si>
    <t>L1CAM interactions</t>
  </si>
  <si>
    <t>NCAM signaling for neurite out-growth</t>
  </si>
  <si>
    <t>Signaling by ROBO receptors</t>
  </si>
  <si>
    <t>RET signaling</t>
  </si>
  <si>
    <t>Reelin signalling pathway</t>
  </si>
  <si>
    <t>EPHB-mediated forward signaling</t>
  </si>
  <si>
    <t>EPHA-mediated growth cone collapse</t>
  </si>
  <si>
    <t>Ephrin signaling</t>
  </si>
  <si>
    <t>EPH-ephrin mediated repulsion of cells</t>
  </si>
  <si>
    <t>DSCAM interactions</t>
  </si>
  <si>
    <t>DCC mediated attractive signaling</t>
  </si>
  <si>
    <t>Netrin mediated repulsion signals</t>
  </si>
  <si>
    <t>Role of second messengers in netrin-1 signaling</t>
  </si>
  <si>
    <t>Sema3A PAK dependent Axon repulsion</t>
  </si>
  <si>
    <t>SEMA3A-Plexin repulsion signaling by inhibiting Integrin adhesion</t>
  </si>
  <si>
    <t>CRMPs in Sema3A signaling</t>
  </si>
  <si>
    <t>Sema4D in semaphorin signaling</t>
  </si>
  <si>
    <t>Other semaphorin interactions</t>
  </si>
  <si>
    <t>Sema4D mediated inhibition of cell attachment and migration</t>
  </si>
  <si>
    <t>Sema4D induced cell migration and growth-cone collapse</t>
  </si>
  <si>
    <t>Recycling pathway of L1</t>
  </si>
  <si>
    <t>Interaction between L1 and Ankyrins</t>
  </si>
  <si>
    <t>Signal transduction by L1</t>
  </si>
  <si>
    <t>NrCAM interactions</t>
  </si>
  <si>
    <t>CHL1 interactions</t>
  </si>
  <si>
    <t>Neurofascin interactions</t>
  </si>
  <si>
    <t>NCAM1 interactions</t>
  </si>
  <si>
    <t>Activation of RAC1</t>
  </si>
  <si>
    <t>Regulation of commissural axon pathfinding by SLIT and ROBO</t>
  </si>
  <si>
    <t>Inactivation of CDC42 and RAC1</t>
  </si>
  <si>
    <t>Role of ABL in ROBO-SLIT signaling</t>
  </si>
  <si>
    <t>SLIT2:ROBO1 increases RHOA activity</t>
  </si>
  <si>
    <t>Regulation of cortical dendrite branching</t>
  </si>
  <si>
    <t>Regulation of expression of SLITs and ROBOs</t>
  </si>
  <si>
    <t>ROBO receptors bind AKAP5</t>
  </si>
  <si>
    <t>Germ layer formation at gastrulation</t>
  </si>
  <si>
    <t>Epithelial-Mesenchymal Transition (EMT) during gastrulation</t>
  </si>
  <si>
    <t>Formation of lateral plate mesoderm</t>
  </si>
  <si>
    <t>Formation of intermediate mesoderm</t>
  </si>
  <si>
    <t>Formation of paraxial mesoderm</t>
  </si>
  <si>
    <t>Formation of axial mesoderm</t>
  </si>
  <si>
    <t>Formation of definitive endoderm</t>
  </si>
  <si>
    <t>Formation of the anterior neural plate</t>
  </si>
  <si>
    <t>Formation of the posterior neural plate</t>
  </si>
  <si>
    <t>Somitogenesis</t>
  </si>
  <si>
    <t>Zygotic genome activation (ZGA)</t>
  </si>
  <si>
    <t>M-decay: degradation of maternal mRNAs by maternally stored factors</t>
  </si>
  <si>
    <t>Z-decay: degradation of maternal mRNAs by zygotically expressed factors</t>
  </si>
  <si>
    <t>Chromatin modifications during the maternal to zygotic transition (MZT)</t>
  </si>
  <si>
    <t>Replacement of protamines by nucleosomes in the male pronucleus</t>
  </si>
  <si>
    <t>O2/CO2 exchange in erythrocytes</t>
  </si>
  <si>
    <t>Plasma lipoprotein assembly, remodeling, and clearance</t>
  </si>
  <si>
    <t>ABC-family proteins mediated transport</t>
  </si>
  <si>
    <t>SLC-mediated transmembrane transport</t>
  </si>
  <si>
    <t>Aquaporin-mediated transport</t>
  </si>
  <si>
    <t>Miscellaneous transport and binding events</t>
  </si>
  <si>
    <t>Mitochondrial calcium ion transport</t>
  </si>
  <si>
    <t>Intracellular oxygen transport</t>
  </si>
  <si>
    <t>Iron uptake and transport</t>
  </si>
  <si>
    <t>Ion channel transport</t>
  </si>
  <si>
    <t>Erythrocytes take up carbon dioxide and release oxygen</t>
  </si>
  <si>
    <t>Erythrocytes take up oxygen and release carbon dioxide</t>
  </si>
  <si>
    <t>Plasma lipoprotein assembly</t>
  </si>
  <si>
    <t>Plasma lipoprotein remodeling</t>
  </si>
  <si>
    <t>Plasma lipoprotein clearance</t>
  </si>
  <si>
    <t>VLDL assembly</t>
  </si>
  <si>
    <t>Chylomicron assembly</t>
  </si>
  <si>
    <t>HDL assembly</t>
  </si>
  <si>
    <t>Assembly of active LPL and LIPC lipase complexes</t>
  </si>
  <si>
    <t>Chylomicron remodeling</t>
  </si>
  <si>
    <t>LDL remodeling</t>
  </si>
  <si>
    <t>HDL remodeling</t>
  </si>
  <si>
    <t>VLDLR internalisation and degradation</t>
  </si>
  <si>
    <t>HDL clearance</t>
  </si>
  <si>
    <t>Chylomicron clearance</t>
  </si>
  <si>
    <t>LDL clearance</t>
  </si>
  <si>
    <t>VLDL clearance</t>
  </si>
  <si>
    <t>Mitochondrial ABC transporters</t>
  </si>
  <si>
    <t>ABC transporters in lipid homeostasis</t>
  </si>
  <si>
    <t>Cellular hexose transport</t>
  </si>
  <si>
    <t>Transport of bile salts and organic acids, metal ions and amine compounds</t>
  </si>
  <si>
    <t>Transport of inorganic cations/anions and amino acids/oligopeptides</t>
  </si>
  <si>
    <t>Transport of vitamins, nucleosides, and related molecules</t>
  </si>
  <si>
    <t>Metal ion SLC transporters</t>
  </si>
  <si>
    <t>Inositol transporters</t>
  </si>
  <si>
    <t>Sodium-coupled sulphate, di- and tri-carboxylate transporters</t>
  </si>
  <si>
    <t>Proton-coupled monocarboxylate transport</t>
  </si>
  <si>
    <t>Na+/Cl- dependent neurotransmitter transporters</t>
  </si>
  <si>
    <t>Rhesus glycoproteins mediate ammonium transport.</t>
  </si>
  <si>
    <t>Organic cation/anion/zwitterion transport</t>
  </si>
  <si>
    <t>Zinc transporters</t>
  </si>
  <si>
    <t>Zinc efflux and compartmentalization by the SLC30 family</t>
  </si>
  <si>
    <t>Zinc influx into cells by the SLC39 gene family</t>
  </si>
  <si>
    <t>Organic cation transport</t>
  </si>
  <si>
    <t>Organic anion transport</t>
  </si>
  <si>
    <t>Amino acid transport across the plasma membrane</t>
  </si>
  <si>
    <t>Bicarbonate transporters</t>
  </si>
  <si>
    <t>Sodium/Calcium exchangers</t>
  </si>
  <si>
    <t>Sodium/Proton exchangers</t>
  </si>
  <si>
    <t>Cation-coupled Chloride cotransporters</t>
  </si>
  <si>
    <t>Multifunctional anion exchangers</t>
  </si>
  <si>
    <t>Sodium-coupled phosphate cotransporters</t>
  </si>
  <si>
    <t>Proton/oligopeptide cotransporters</t>
  </si>
  <si>
    <t>Proton-coupled neutral amino acid transporters</t>
  </si>
  <si>
    <t>Organic anion transporters</t>
  </si>
  <si>
    <t>Type II Na+/Pi cotransporters</t>
  </si>
  <si>
    <t>Transport of nucleotide sugars</t>
  </si>
  <si>
    <t>Transport of fatty acids</t>
  </si>
  <si>
    <t>Transport of nucleosides and free purine and pyrimidine bases across the plasma membrane</t>
  </si>
  <si>
    <t>Transport of organic anions</t>
  </si>
  <si>
    <t>Transport of glycerol from adipocytes to the liver by Aquaporins</t>
  </si>
  <si>
    <t>Vasopressin regulates renal water homeostasis via Aquaporins</t>
  </si>
  <si>
    <t>Passive transport by Aquaporins</t>
  </si>
  <si>
    <t>Processing of SMDT1</t>
  </si>
  <si>
    <t>Transferrin endocytosis and recycling</t>
  </si>
  <si>
    <t>Stimuli-sensing channels</t>
  </si>
  <si>
    <t>Ion transport by P-type ATPases</t>
  </si>
  <si>
    <t>TRP channels</t>
  </si>
  <si>
    <t>Mismatch Repair</t>
  </si>
  <si>
    <t>DNA Double-Strand Break Repair</t>
  </si>
  <si>
    <t>Nucleotide Excision Repair</t>
  </si>
  <si>
    <t>Fanconi Anemia Pathway</t>
  </si>
  <si>
    <t>Base Excision Repair</t>
  </si>
  <si>
    <t>DNA Damage Bypass</t>
  </si>
  <si>
    <t>DNA Damage Reversal</t>
  </si>
  <si>
    <t>Mismatch repair (MMR) directed by MSH2:MSH6 (MutSalpha)</t>
  </si>
  <si>
    <t>Mismatch repair (MMR) directed by MSH2:MSH3 (MutSbeta)</t>
  </si>
  <si>
    <t>Homology Directed Repair</t>
  </si>
  <si>
    <t>Nonhomologous End-Joining (NHEJ)</t>
  </si>
  <si>
    <t>DNA Double Strand Break Response</t>
  </si>
  <si>
    <t>HDR through MMEJ (alt-NHEJ)</t>
  </si>
  <si>
    <t>HDR through Homologous Recombination (HRR) or Single Strand Annealing (SSA)</t>
  </si>
  <si>
    <t>HDR through Single Strand Annealing (SSA)</t>
  </si>
  <si>
    <t>HDR through Homologous Recombination (HRR)</t>
  </si>
  <si>
    <t>Processing of DNA double-strand break ends</t>
  </si>
  <si>
    <t>Resolution of D-Loop Structures</t>
  </si>
  <si>
    <t>Homologous DNA Pairing and Strand Exchange</t>
  </si>
  <si>
    <t>Resolution of D-loop Structures through Synthesis-Dependent Strand Annealing (SDSA)</t>
  </si>
  <si>
    <t>Resolution of D-loop Structures through Holliday Junction Intermediates</t>
  </si>
  <si>
    <t>Presynaptic phase of homologous DNA pairing and strand exchange</t>
  </si>
  <si>
    <t>Sensing of DNA Double Strand Breaks</t>
  </si>
  <si>
    <t>Recruitment and ATM-mediated phosphorylation of repair and signaling proteins at DNA double strand breaks</t>
  </si>
  <si>
    <t>Global Genome Nucleotide Excision Repair (GG-NER)</t>
  </si>
  <si>
    <t>Transcription-Coupled Nucleotide Excision Repair (TC-NER)</t>
  </si>
  <si>
    <t>DNA Damage Recognition in GG-NER</t>
  </si>
  <si>
    <t>Formation of Incision Complex in GG-NER</t>
  </si>
  <si>
    <t>Gap-filling DNA repair synthesis and ligation in GG-NER</t>
  </si>
  <si>
    <t>Dual Incision in GG-NER</t>
  </si>
  <si>
    <t>Formation of TC-NER Pre-Incision Complex</t>
  </si>
  <si>
    <t>Dual incision in TC-NER</t>
  </si>
  <si>
    <t>Gap-filling DNA repair synthesis and ligation in TC-NER</t>
  </si>
  <si>
    <t>Drug-induced formation of DNA interstrand crosslinks</t>
  </si>
  <si>
    <t>Base-Excision Repair, AP Site Formation</t>
  </si>
  <si>
    <t>Resolution of Abasic Sites (AP sites)</t>
  </si>
  <si>
    <t>Depurination</t>
  </si>
  <si>
    <t>Depyrimidination</t>
  </si>
  <si>
    <t>NEIL3-mediated resolution of ICLs</t>
  </si>
  <si>
    <t>Alkylating DNA damage induced by chemotherapeutic drugs</t>
  </si>
  <si>
    <t>Recognition and association of DNA glycosylase with site containing an affected purine</t>
  </si>
  <si>
    <t>Cleavage of the damaged purine</t>
  </si>
  <si>
    <t>Recognition and association of DNA glycosylase with site containing an affected pyrimidine</t>
  </si>
  <si>
    <t xml:space="preserve">Cleavage of the damaged pyrimidine </t>
  </si>
  <si>
    <t>Displacement of DNA glycosylase by APEX1</t>
  </si>
  <si>
    <t>Resolution of AP sites via the multiple-nucleotide patch replacement pathway</t>
  </si>
  <si>
    <t>Resolution of AP sites via the single-nucleotide replacement pathway</t>
  </si>
  <si>
    <t>APEX1-Independent Resolution of AP Sites via the Single Nucleotide Replacement Pathway</t>
  </si>
  <si>
    <t>POLB-Dependent Long Patch Base Excision Repair</t>
  </si>
  <si>
    <t>PCNA-Dependent Long Patch Base Excision Repair</t>
  </si>
  <si>
    <t>Abasic sugar-phosphate removal via the single-nucleotide replacement pathway</t>
  </si>
  <si>
    <t>Translesion synthesis by Y family DNA polymerases bypasses lesions on DNA template</t>
  </si>
  <si>
    <t>Recognition of DNA damage by PCNA-containing replication complex</t>
  </si>
  <si>
    <t>Translesion synthesis by REV1</t>
  </si>
  <si>
    <t>Translesion Synthesis by POLH</t>
  </si>
  <si>
    <t>Translesion synthesis by POLK</t>
  </si>
  <si>
    <t>Translesion synthesis by POLI</t>
  </si>
  <si>
    <t>Termination of translesion DNA synthesis</t>
  </si>
  <si>
    <t>MGMT-mediated DNA damage reversal</t>
  </si>
  <si>
    <t>Reversal of alkylation damage by DNA dioxygenases</t>
  </si>
  <si>
    <t>Reversible DNA damage induced by alkylating chemotherapeutic drugs</t>
  </si>
  <si>
    <t>ALKBH2 mediated reversal of alkylation damage</t>
  </si>
  <si>
    <t>ALKBH3 mediated reversal of alkylation damage</t>
  </si>
  <si>
    <t>Cellular responses to stress</t>
  </si>
  <si>
    <t>Response to metal ions</t>
  </si>
  <si>
    <t>Cellular response to hypoxia</t>
  </si>
  <si>
    <t>Cellular Senescence</t>
  </si>
  <si>
    <t>HSP90 chaperone cycle for steroid hormone receptors (SHR) in the presence of ligand</t>
  </si>
  <si>
    <t>Cellular response to heat stress</t>
  </si>
  <si>
    <t>Unfolded Protein Response (UPR)</t>
  </si>
  <si>
    <t>Response of EIF2AK1 (HRI) to heme deficiency</t>
  </si>
  <si>
    <t>Heme signaling</t>
  </si>
  <si>
    <t>Cellular response to starvation</t>
  </si>
  <si>
    <t>Cellular response to chemical stress</t>
  </si>
  <si>
    <t>Regulation of gene expression by Hypoxia-inducible Factor</t>
  </si>
  <si>
    <t>Oxygen-dependent proline hydroxylation of Hypoxia-inducible Factor Alpha</t>
  </si>
  <si>
    <t>Oxidative Stress Induced Senescence</t>
  </si>
  <si>
    <t>Senescence-Associated Secretory Phenotype (SASP)</t>
  </si>
  <si>
    <t>Oncogene Induced Senescence</t>
  </si>
  <si>
    <t>DNA Damage/Telomere Stress Induced Senescence</t>
  </si>
  <si>
    <t>Formation of Senescence-Associated Heterochromatin Foci (SAHF)</t>
  </si>
  <si>
    <t>Regulation of HSF1-mediated heat shock response</t>
  </si>
  <si>
    <t>HSF1 activation</t>
  </si>
  <si>
    <t>HSF1-dependent transactivation</t>
  </si>
  <si>
    <t>Attenuation phase</t>
  </si>
  <si>
    <t>ATF6 (ATF6-alpha) activates chaperones</t>
  </si>
  <si>
    <t>PERK regulates gene expression</t>
  </si>
  <si>
    <t>IRE1alpha activates chaperones</t>
  </si>
  <si>
    <t>ATF6B (ATF6-beta) activates chaperones</t>
  </si>
  <si>
    <t>CREB3 factors activate genes</t>
  </si>
  <si>
    <t>ATF6 (ATF6-alpha) activates chaperone genes</t>
  </si>
  <si>
    <t>ATF4 activates genes in response to endoplasmic reticulum  stress</t>
  </si>
  <si>
    <t>XBP1(S) activates chaperone genes</t>
  </si>
  <si>
    <t>Response of EIF2AK4 (GCN2) to amino acid deficiency</t>
  </si>
  <si>
    <t>Amino acids regulate mTORC1</t>
  </si>
  <si>
    <t>Detoxification of Reactive Oxygen Species</t>
  </si>
  <si>
    <t>Cytoprotection by HMOX1</t>
  </si>
  <si>
    <t>KEAP1-NFE2L2 pathway</t>
  </si>
  <si>
    <t>Regulation of HMOX1 expression and activity</t>
  </si>
  <si>
    <t>Regulation of BACH1 activity</t>
  </si>
  <si>
    <t>Nuclear events mediated by NFE2L2</t>
  </si>
  <si>
    <t>GSK3B and BTRC:CUL1-mediated-degradation of NFE2L2</t>
  </si>
  <si>
    <t>NFE2L2 regulating TCA cycle genes</t>
  </si>
  <si>
    <t>NFE2L2 regulating inflammation associated genes</t>
  </si>
  <si>
    <t>NFE2L2 regulating anti-oxidant/detoxification enzymes</t>
  </si>
  <si>
    <t>NFE2L2 regulates pentose phosphate pathway genes</t>
  </si>
  <si>
    <t>NFE2L2 regulating tumorigenic genes</t>
  </si>
  <si>
    <t>NFE2L2 regulating MDR associated enzymes</t>
  </si>
  <si>
    <t>NFE2L2 regulating ER-stress associated genes</t>
  </si>
  <si>
    <t>Regulation of NFE2L2 gene expression</t>
  </si>
  <si>
    <t>MTF1 activates gene expression</t>
  </si>
  <si>
    <t>Metallothioneins bind metals</t>
  </si>
  <si>
    <t>Apoptosis</t>
  </si>
  <si>
    <t>Regulated Necrosis</t>
  </si>
  <si>
    <t>Intrinsic Pathway for Apoptosis</t>
  </si>
  <si>
    <t>Regulation of Apoptosis</t>
  </si>
  <si>
    <t>Caspase activation via extrinsic apoptotic signalling pathway</t>
  </si>
  <si>
    <t>Apoptotic execution phase</t>
  </si>
  <si>
    <t>Activation and oligomerization of BAK protein</t>
  </si>
  <si>
    <t>BH3-only proteins associate with and inactivate anti-apoptotic BCL-2 members</t>
  </si>
  <si>
    <t>Apoptotic factor-mediated response</t>
  </si>
  <si>
    <t>Activation, translocation and oligomerization of BAX</t>
  </si>
  <si>
    <t>Activation of BH3-only proteins</t>
  </si>
  <si>
    <t>Activation, myristolyation of BID and translocation to mitochondria</t>
  </si>
  <si>
    <t>Release of apoptotic factors from the mitochondria</t>
  </si>
  <si>
    <t>Cytochrome c-mediated apoptotic response</t>
  </si>
  <si>
    <t>SMAC, XIAP-regulated apoptotic response</t>
  </si>
  <si>
    <t>Formation of apoptosome</t>
  </si>
  <si>
    <t>Activation of caspases through apoptosome-mediated cleavage</t>
  </si>
  <si>
    <t>Regulation of the apoptosome activity</t>
  </si>
  <si>
    <t xml:space="preserve">SMAC (DIABLO) binds to IAPs </t>
  </si>
  <si>
    <t xml:space="preserve">SMAC(DIABLO)-mediated dissociation of IAP:caspase complexes </t>
  </si>
  <si>
    <t xml:space="preserve">Activation of BIM and translocation to mitochondria </t>
  </si>
  <si>
    <t xml:space="preserve">Activation of BAD and translocation to mitochondria </t>
  </si>
  <si>
    <t>Activation of NOXA and translocation to mitochondria</t>
  </si>
  <si>
    <t>Activation of BMF and translocation to mitochondria</t>
  </si>
  <si>
    <t>Activation of PUMA and translocation to mitochondria</t>
  </si>
  <si>
    <t>Regulation of PAK-2p34 activity by PS-GAP/RHG10</t>
  </si>
  <si>
    <t>Regulation of activated PAK-2p34 by proteasome mediated degradation</t>
  </si>
  <si>
    <t>Caspase activation via Death Receptors in the presence of ligand</t>
  </si>
  <si>
    <t>Caspase activation via Dependence Receptors in the absence of ligand</t>
  </si>
  <si>
    <t>Regulation by c-FLIP</t>
  </si>
  <si>
    <t>Dimerization of procaspase-8</t>
  </si>
  <si>
    <t>Apoptotic cleavage of cellular proteins</t>
  </si>
  <si>
    <t>Apoptosis induced DNA fragmentation</t>
  </si>
  <si>
    <t>Stimulation of the cell death response by PAK-2p34</t>
  </si>
  <si>
    <t>Caspase-mediated cleavage of cytoskeletal proteins</t>
  </si>
  <si>
    <t>Apoptotic cleavage of cell adhesion  proteins</t>
  </si>
  <si>
    <t>Breakdown of the nuclear lamina</t>
  </si>
  <si>
    <t>RIPK1-mediated regulated necrosis</t>
  </si>
  <si>
    <t>Pyroptosis</t>
  </si>
  <si>
    <t>Regulation of necroptotic cell death</t>
  </si>
  <si>
    <t>CASP8 activity is inhibited</t>
  </si>
  <si>
    <t>Formation of Fibrin Clot (Clotting Cascade)</t>
  </si>
  <si>
    <t>Cell surface interactions at the vascular wall</t>
  </si>
  <si>
    <t>Platelet homeostasis</t>
  </si>
  <si>
    <t>Dissolution of Fibrin Clot</t>
  </si>
  <si>
    <t>Platelet Adhesion to exposed collagen</t>
  </si>
  <si>
    <t>Platelet activation, signaling and aggregation</t>
  </si>
  <si>
    <t>Factors involved in megakaryocyte development and platelet production</t>
  </si>
  <si>
    <t>Extrinsic Pathway of Fibrin Clot Formation</t>
  </si>
  <si>
    <t>Intrinsic Pathway of Fibrin Clot Formation</t>
  </si>
  <si>
    <t>Common Pathway of Fibrin Clot Formation</t>
  </si>
  <si>
    <t>PECAM1 interactions</t>
  </si>
  <si>
    <t>Basigin interactions</t>
  </si>
  <si>
    <t>Tie2 Signaling</t>
  </si>
  <si>
    <t>Nitric oxide stimulates guanylate cyclase</t>
  </si>
  <si>
    <t>Prostacyclin signalling through prostacyclin receptor</t>
  </si>
  <si>
    <t>Platelet calcium homeostasis</t>
  </si>
  <si>
    <t>Platelet sensitization by LDL</t>
  </si>
  <si>
    <t>cGMP effects</t>
  </si>
  <si>
    <t>Elevation of cytosolic Ca2+ levels</t>
  </si>
  <si>
    <t>Reduction of cytosolic Ca++ levels</t>
  </si>
  <si>
    <t>GPVI-mediated activation cascade</t>
  </si>
  <si>
    <t>Signal amplification</t>
  </si>
  <si>
    <t>GP1b-IX-V activation signalling</t>
  </si>
  <si>
    <t>Thrombin signalling through proteinase activated receptors (PARs)</t>
  </si>
  <si>
    <t>Response to elevated platelet cytosolic Ca2+</t>
  </si>
  <si>
    <t>Platelet Aggregation (Plug Formation)</t>
  </si>
  <si>
    <t>ADP signalling through P2Y purinoceptor 12</t>
  </si>
  <si>
    <t>ADP signalling through P2Y purinoceptor 1</t>
  </si>
  <si>
    <t>Thromboxane signalling through TP receptor</t>
  </si>
  <si>
    <t>Disinhibition of SNARE formation</t>
  </si>
  <si>
    <t xml:space="preserve">Platelet degranulation </t>
  </si>
  <si>
    <t>Adrenaline signalling through Alpha-2 adrenergic receptor</t>
  </si>
  <si>
    <t>Kinesins</t>
  </si>
  <si>
    <t>Membrane Trafficking</t>
  </si>
  <si>
    <t>Binding and Uptake of Ligands by Scavenger Receptors</t>
  </si>
  <si>
    <t>Translocation of SLC2A4 (GLUT4) to the plasma membrane</t>
  </si>
  <si>
    <t>Gap junction trafficking and regulation</t>
  </si>
  <si>
    <t>trans-Golgi Network Vesicle Budding</t>
  </si>
  <si>
    <t>Intra-Golgi and retrograde Golgi-to-ER traffic</t>
  </si>
  <si>
    <t>Clathrin-mediated endocytosis</t>
  </si>
  <si>
    <t>Rab regulation of trafficking</t>
  </si>
  <si>
    <t>Endosomal Sorting Complex Required For Transport (ESCRT)</t>
  </si>
  <si>
    <t>Gap junction trafficking</t>
  </si>
  <si>
    <t>Regulation of gap junction activity</t>
  </si>
  <si>
    <t>Gap junction assembly</t>
  </si>
  <si>
    <t>Gap junction degradation</t>
  </si>
  <si>
    <t>Oligomerization of connexins into connexons</t>
  </si>
  <si>
    <t>Transport of connexins along the secretory pathway</t>
  </si>
  <si>
    <t>Transport of connexons to the plasma membrane</t>
  </si>
  <si>
    <t>Microtubule-dependent trafficking of connexons from Golgi to the plasma membrane</t>
  </si>
  <si>
    <t>Formation of annular gap junctions</t>
  </si>
  <si>
    <t>Lysosome Vesicle Biogenesis</t>
  </si>
  <si>
    <t>Golgi Associated Vesicle Biogenesis</t>
  </si>
  <si>
    <t>Intra-Golgi traffic</t>
  </si>
  <si>
    <t>Retrograde transport at the Trans-Golgi-Network</t>
  </si>
  <si>
    <t>Golgi-to-ER retrograde transport</t>
  </si>
  <si>
    <t>COPI-dependent Golgi-to-ER retrograde traffic</t>
  </si>
  <si>
    <t>COPI-independent Golgi-to-ER retrograde traffic</t>
  </si>
  <si>
    <t>Cargo recognition for clathrin-mediated endocytosis</t>
  </si>
  <si>
    <t>TBC/RABGAPs</t>
  </si>
  <si>
    <t>RAB GEFs exchange GTP for GDP on RABs</t>
  </si>
  <si>
    <t>Scavenging of heme from plasma</t>
  </si>
  <si>
    <t>Scavenging by Class B Receptors</t>
  </si>
  <si>
    <t>Scavenging by Class A Receptors</t>
  </si>
  <si>
    <t>Scavenging by Class F Receptors</t>
  </si>
  <si>
    <t>Scavenging by Class H Receptors</t>
  </si>
  <si>
    <t>Metabolism of non-coding RNA</t>
  </si>
  <si>
    <t>Insulin-like Growth Factor-2 mRNA Binding Proteins (IGF2BPs/IMPs/VICKZs) bind RNA</t>
  </si>
  <si>
    <t>Deadenylation-dependent mRNA decay</t>
  </si>
  <si>
    <t>Regulation of mRNA stability by proteins that bind AU-rich elements</t>
  </si>
  <si>
    <t>mRNA Capping</t>
  </si>
  <si>
    <t>Processing of Capped Intron-Containing Pre-mRNA</t>
  </si>
  <si>
    <t>tRNA processing</t>
  </si>
  <si>
    <t>rRNA processing</t>
  </si>
  <si>
    <t>Processing of Capped Intronless Pre-mRNA</t>
  </si>
  <si>
    <t>mRNA Editing</t>
  </si>
  <si>
    <t>Nonsense-Mediated Decay (NMD)</t>
  </si>
  <si>
    <t>Mitochondrial RNA degradation</t>
  </si>
  <si>
    <t>snRNP Assembly</t>
  </si>
  <si>
    <t>Deadenylation of mRNA</t>
  </si>
  <si>
    <t>mRNA decay by 3' to 5' exoribonuclease</t>
  </si>
  <si>
    <t>mRNA decay by 5' to 3' exoribonuclease</t>
  </si>
  <si>
    <t>Butyrate Response Factor 1 (BRF1) binds and destabilizes mRNA</t>
  </si>
  <si>
    <t>AUF1 (hnRNP D0) binds and destabilizes mRNA</t>
  </si>
  <si>
    <t>Tristetraprolin (TTP, ZFP36) binds and destabilizes mRNA</t>
  </si>
  <si>
    <t>HuR (ELAVL1) binds and stabilizes mRNA</t>
  </si>
  <si>
    <t>KSRP (KHSRP) binds and destabilizes mRNA</t>
  </si>
  <si>
    <t>mRNA Splicing</t>
  </si>
  <si>
    <t>mRNA 3'-end processing</t>
  </si>
  <si>
    <t>Transport of Mature Transcript to Cytoplasm</t>
  </si>
  <si>
    <t>mRNA Splicing - Major Pathway</t>
  </si>
  <si>
    <t>mRNA Splicing - Minor Pathway</t>
  </si>
  <si>
    <t>Transport of Mature mRNAs Derived from Intronless Transcripts</t>
  </si>
  <si>
    <t>Transport of Mature mRNA derived from an Intron-Containing Transcript</t>
  </si>
  <si>
    <t>Transport of the SLBP independent Mature mRNA</t>
  </si>
  <si>
    <t>Transport of the SLBP Dependant Mature mRNA</t>
  </si>
  <si>
    <t>Transport of Mature mRNA Derived from an Intronless Transcript</t>
  </si>
  <si>
    <t>tRNA modification in the nucleus and cytosol</t>
  </si>
  <si>
    <t>tRNA processing in the nucleus</t>
  </si>
  <si>
    <t>tRNA processing in the mitochondrion</t>
  </si>
  <si>
    <t>tRNA modification in the mitochondrion</t>
  </si>
  <si>
    <t>Synthesis of wybutosine at G37 of tRNA(Phe)</t>
  </si>
  <si>
    <t>rRNA processing in the mitochondrion</t>
  </si>
  <si>
    <t>rRNA processing in the nucleus and cytosol</t>
  </si>
  <si>
    <t>rRNA modification in the mitochondrion</t>
  </si>
  <si>
    <t>rRNA modification in the nucleus and cytosol</t>
  </si>
  <si>
    <t>Major pathway of rRNA processing in the nucleolus and cytosol</t>
  </si>
  <si>
    <t>SLBP independent Processing of Histone Pre-mRNAs</t>
  </si>
  <si>
    <t>SLBP Dependent Processing of Replication-Dependent Histone Pre-mRNAs</t>
  </si>
  <si>
    <t>Processing of Intronless Pre-mRNAs</t>
  </si>
  <si>
    <t>mRNA Editing: C to U Conversion</t>
  </si>
  <si>
    <t>mRNA Editing: A to I Conversion</t>
  </si>
  <si>
    <t>Formation of the Editosome</t>
  </si>
  <si>
    <t>C6 deamination of adenosine</t>
  </si>
  <si>
    <t>Formation of editosomes by ADAR proteins</t>
  </si>
  <si>
    <t>Nonsense Mediated Decay (NMD) independent of the Exon Junction Complex (EJC)</t>
  </si>
  <si>
    <t>Nonsense Mediated Decay (NMD) enhanced by the Exon Junction Complex (EJC)</t>
  </si>
  <si>
    <t>FASTK family proteins regulate processing and stability of mitochondrial RNAs</t>
  </si>
  <si>
    <t>DNA Replication Pre-Initiation</t>
  </si>
  <si>
    <t>Assembly of the pre-replicative complex</t>
  </si>
  <si>
    <t>Assembly of the ORC complex at the origin of replication</t>
  </si>
  <si>
    <t>CDC6 association with the ORC:origin complex</t>
  </si>
  <si>
    <t>Visual phototransduction</t>
  </si>
  <si>
    <t>Olfactory Signaling Pathway</t>
  </si>
  <si>
    <t>Sensory processing of sound</t>
  </si>
  <si>
    <t>Sensory perception of taste</t>
  </si>
  <si>
    <t>The retinoid cycle in cones (daylight vision)</t>
  </si>
  <si>
    <t>The canonical retinoid cycle in rods (twilight vision)</t>
  </si>
  <si>
    <t>The phototransduction cascade</t>
  </si>
  <si>
    <t>Activation of the phototransduction cascade</t>
  </si>
  <si>
    <t>Inactivation, recovery and regulation of the phototransduction cascade</t>
  </si>
  <si>
    <t>Expression and translocation of olfactory receptors</t>
  </si>
  <si>
    <t>Sensory processing of sound by inner hair cells of the cochlea</t>
  </si>
  <si>
    <t>Sensory processing of sound by outer hair cells of the cochlea</t>
  </si>
  <si>
    <t>Acetylcholine inhibits contraction of outer hair cells</t>
  </si>
  <si>
    <t>Sensory perception of sweet, bitter, and umami (glutamate) taste</t>
  </si>
  <si>
    <t>Sensory perception of sour taste</t>
  </si>
  <si>
    <t>Sensory perception of salty taste</t>
  </si>
  <si>
    <t>Degradation of the extracellular matrix</t>
  </si>
  <si>
    <t>Collagen formation</t>
  </si>
  <si>
    <t>Elastic fibre formation</t>
  </si>
  <si>
    <t>Fibronectin matrix formation</t>
  </si>
  <si>
    <t>Integrin cell surface interactions</t>
  </si>
  <si>
    <t>Laminin interactions</t>
  </si>
  <si>
    <t>Non-integrin membrane-ECM interactions</t>
  </si>
  <si>
    <t>ECM proteoglycans</t>
  </si>
  <si>
    <t>Invadopodia formation</t>
  </si>
  <si>
    <t>Collagen degradation</t>
  </si>
  <si>
    <t>Activation of Matrix Metalloproteinases</t>
  </si>
  <si>
    <t>Collagen biosynthesis and modifying enzymes</t>
  </si>
  <si>
    <t>Assembly of collagen fibrils and other multimeric structures</t>
  </si>
  <si>
    <t>Collagen chain trimerization</t>
  </si>
  <si>
    <t>Anchoring fibril formation</t>
  </si>
  <si>
    <t>Crosslinking of collagen fibrils</t>
  </si>
  <si>
    <t>Molecules associated with elastic fibres</t>
  </si>
  <si>
    <t>Syndecan interactions</t>
  </si>
  <si>
    <t>Nephrin family interactions</t>
  </si>
  <si>
    <t>Signal regulatory protein family interactions</t>
  </si>
  <si>
    <t>Cell junction organization</t>
  </si>
  <si>
    <t>Cell-cell junction organization</t>
  </si>
  <si>
    <t>Type I hemidesmosome assembly</t>
  </si>
  <si>
    <t>Cell-extracellular matrix interactions</t>
  </si>
  <si>
    <t>SDK interactions</t>
  </si>
  <si>
    <t>Adherens junctions interactions</t>
  </si>
  <si>
    <t>Tight junction interactions</t>
  </si>
  <si>
    <t>Nectin/Necl  trans heterodimerization</t>
  </si>
  <si>
    <t>Regulation of Homotypic Cell-Cell Adhesion</t>
  </si>
  <si>
    <t>Regulation of Expression and Function of Type II Classical Cadherins</t>
  </si>
  <si>
    <t>Regulation of CDH11 Expression and Function</t>
  </si>
  <si>
    <t>Regulation of CDH19 Expression and Function</t>
  </si>
  <si>
    <t>Regulation of CDH11 mRNA translation by microRNAs</t>
  </si>
  <si>
    <t>Regulation of CDH11 function</t>
  </si>
  <si>
    <t>Regulation of CDH11 gene transcription</t>
  </si>
  <si>
    <t>CDH11 homotypic and heterotypic interactions</t>
  </si>
  <si>
    <t>Localization of the PINCH-ILK-PARVIN complex to focal adhesions</t>
  </si>
  <si>
    <t>Regulation of cytoskeletal remodeling and cell spreading by IPP complex components</t>
  </si>
  <si>
    <t>Mitochondrial biogenesis</t>
  </si>
  <si>
    <t>Cilium Assembly</t>
  </si>
  <si>
    <t>Transcriptional activation of mitochondrial biogenesis</t>
  </si>
  <si>
    <t>Activation of PPARGC1A (PGC-1alpha) by phosphorylation</t>
  </si>
  <si>
    <t>Cristae formation</t>
  </si>
  <si>
    <t>Anchoring of the basal body to the plasma membrane</t>
  </si>
  <si>
    <t>Cargo trafficking to the periciliary membrane</t>
  </si>
  <si>
    <t>Intraflagellar transport</t>
  </si>
  <si>
    <t>VxPx cargo-targeting to cilium</t>
  </si>
  <si>
    <t>BBSome-mediated cargo-targeting to cilium</t>
  </si>
  <si>
    <t>Trafficking of myristoylated proteins to the cilium</t>
  </si>
  <si>
    <t>ARL13B-mediated ciliary trafficking of INPP5E</t>
  </si>
  <si>
    <t>Cell-cell communication</t>
  </si>
  <si>
    <t>Sensory perception</t>
  </si>
  <si>
    <t>Fertilization</t>
  </si>
  <si>
    <t>Specification of primordial germ cells</t>
  </si>
  <si>
    <t>Sperm Motility And Taxes</t>
  </si>
  <si>
    <t>Acrosome Reaction and Sperm:Oocyte Membrane Binding</t>
  </si>
  <si>
    <t>Interaction With Cumulus Cells And The Zona Pellucida</t>
  </si>
  <si>
    <t>Chromatin modifying enzymes</t>
  </si>
  <si>
    <t>HDACs deacetylate histones</t>
  </si>
  <si>
    <t>PKMTs methylate histone lysines</t>
  </si>
  <si>
    <t>HDMs demethylate histones</t>
  </si>
  <si>
    <t>HATs acetylate histones</t>
  </si>
  <si>
    <t>RMTs methylate histone arginines</t>
  </si>
  <si>
    <t>Digestion</t>
  </si>
  <si>
    <t>Intestinal absorption</t>
  </si>
  <si>
    <t>Digestion of dietary carbohydrate</t>
  </si>
  <si>
    <t>Digestion of dietary lipid</t>
  </si>
  <si>
    <t>Intestinal lipid absorption</t>
  </si>
  <si>
    <t>Intestinal hexose absorption</t>
  </si>
  <si>
    <t>Mitochondrial protein import</t>
  </si>
  <si>
    <t>Peroxisomal protein import</t>
  </si>
  <si>
    <t>Class I peroxisomal membrane protein import</t>
  </si>
  <si>
    <t>Insertion of tail-anchored proteins into the endoplasmic reticulum membrane</t>
  </si>
  <si>
    <t>TYSND1 cleaves peroxisomal proteins</t>
  </si>
  <si>
    <t>NR1D1 (REV-ERBA) represses gene expression</t>
  </si>
  <si>
    <t>RORA activates gene expression</t>
  </si>
  <si>
    <t>BMAL1:CLOCK,NPAS2 activates circadian gene expression</t>
  </si>
  <si>
    <t>Biosynthesis of electrophilic omega-3 PUFA oxo-derivatives</t>
  </si>
  <si>
    <t>ALTERS CELL PROLIFERATION AND CELL DEATH</t>
  </si>
  <si>
    <t>INDUCES OXIDATIVE STRESS</t>
  </si>
  <si>
    <t>CAUSES INFLAMMATION</t>
  </si>
  <si>
    <t>INDUCES EPIGENETIC ALTERATIONS</t>
  </si>
  <si>
    <t>ALTERS SIGNAL TRANSDUCTION</t>
  </si>
  <si>
    <t>CAUSES MITOCHONDRIAL DYSFUNCTION</t>
  </si>
  <si>
    <t>IS GENOTOXIC</t>
  </si>
  <si>
    <t>IS METABOLICALLY ACTIVATED OR REACTIVE</t>
  </si>
  <si>
    <t>ALTERS CELL-CELL INTERACTIONS AND COMMUNICATION</t>
  </si>
  <si>
    <t>DISRUPTS CELLULAR CYTOSKELETON</t>
  </si>
  <si>
    <t>IS IMMUNOSUPPRESSIVE</t>
  </si>
  <si>
    <t>ALTERS PRODUCTION OF HORMONE</t>
  </si>
  <si>
    <t>DISRUPTS TRANSPORT FUNCTION</t>
  </si>
  <si>
    <t>ALTERS GERM CELL DEVELOPMENT, FUNCTION, OR DEATH</t>
  </si>
  <si>
    <t>AFFECTS ANTIGEN PROCESSING AND PRESENTATION</t>
  </si>
  <si>
    <t>ALTERS DNA REPAIR OR CAUSES GENOMIC INSTABILITY</t>
  </si>
  <si>
    <t>ALTERS EFFECTOR FUNCTION OF SPECIFIC CELL TYPES</t>
  </si>
  <si>
    <t>ALTERS HEMOSTASIS</t>
  </si>
  <si>
    <t>ALTERS HORMONE DISTRIBUTION OR CIRCULATING HORMONE LEVELS</t>
  </si>
  <si>
    <t>ALTERS HORMONE METABOLISM OR CLEARANCE</t>
  </si>
  <si>
    <t>ALTERS IMMUNE CELL SIGNALING</t>
  </si>
  <si>
    <t>ALTERS IMMUNE CELL TRAFFICKING</t>
  </si>
  <si>
    <t>BREAKS DOWN IMMUNE TOLERANCE</t>
  </si>
  <si>
    <t>ACTIVATES STRESS SIGNALING PATHWAYS</t>
  </si>
  <si>
    <t>CAUSES CHOLESTASIS</t>
  </si>
  <si>
    <t>CAUSES IMMORTALIZATION</t>
  </si>
  <si>
    <t>CAUSES LIVER FIBROSIS</t>
  </si>
  <si>
    <t>IMPACTS ENDOTHELIAL AND VASCULAR FUNCTION</t>
  </si>
  <si>
    <t>IMPAIRS CARDIAC CONTRACTILITY AND RELAXATION</t>
  </si>
  <si>
    <t>IMPAIRS REGULATION OF CARDIAC EXCITABILITY</t>
  </si>
  <si>
    <t>MODIFIES AUTONOMIC NERVOUS SYSTEM ACTIVITY</t>
  </si>
  <si>
    <t>MODIFIES CELLULAR DIFFERENTIATION</t>
  </si>
  <si>
    <t>DISRUPTS LIPID AND PROTEIN METABOLISM OR CAUSES DYSLIPIDEMIA</t>
  </si>
  <si>
    <t>MODULATES NUCLEAR RECEPTOR-MEDIATED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</si>
</sst>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2" xfId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1" xfId="1" applyFill="1" applyBorder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17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4F0F6"/>
      <color rgb="FFEAE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68D1-AA20-41F2-99FE-6A9B04BC1241}">
  <dimension ref="A1:AI3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22.08984375" customWidth="1"/>
    <col min="2" max="35" width="16.54296875" customWidth="1"/>
  </cols>
  <sheetData>
    <row r="1" spans="1:35" ht="15" thickBot="1" x14ac:dyDescent="0.4">
      <c r="A1" s="2" t="s">
        <v>30</v>
      </c>
      <c r="B1" s="2">
        <v>10</v>
      </c>
      <c r="C1" s="2">
        <v>7</v>
      </c>
      <c r="D1" s="2">
        <v>5</v>
      </c>
      <c r="E1" s="2">
        <v>5</v>
      </c>
      <c r="F1" s="2">
        <v>4</v>
      </c>
      <c r="G1" s="2">
        <v>3</v>
      </c>
      <c r="H1" s="2">
        <v>3</v>
      </c>
      <c r="I1" s="2">
        <v>3</v>
      </c>
      <c r="J1" s="2">
        <v>3</v>
      </c>
      <c r="K1" s="2">
        <v>2</v>
      </c>
      <c r="L1" s="2">
        <v>2</v>
      </c>
      <c r="M1" s="2">
        <v>1</v>
      </c>
      <c r="N1" s="2">
        <v>2</v>
      </c>
      <c r="O1" s="2">
        <v>2</v>
      </c>
      <c r="P1" s="2">
        <v>2</v>
      </c>
      <c r="Q1" s="2">
        <v>2</v>
      </c>
      <c r="R1" s="2">
        <v>1</v>
      </c>
      <c r="S1" s="2">
        <v>1</v>
      </c>
      <c r="T1" s="2">
        <v>1</v>
      </c>
      <c r="U1" s="2">
        <v>1</v>
      </c>
      <c r="V1" s="2">
        <v>1</v>
      </c>
      <c r="W1" s="2">
        <v>1</v>
      </c>
      <c r="X1" s="2">
        <v>1</v>
      </c>
      <c r="Y1" s="2">
        <v>1</v>
      </c>
      <c r="Z1" s="2">
        <v>1</v>
      </c>
      <c r="AA1" s="2">
        <v>1</v>
      </c>
      <c r="AB1" s="2">
        <v>1</v>
      </c>
      <c r="AC1" s="2">
        <v>1</v>
      </c>
      <c r="AD1" s="2">
        <v>1</v>
      </c>
      <c r="AE1" s="2">
        <v>1</v>
      </c>
      <c r="AF1" s="2">
        <v>1</v>
      </c>
      <c r="AG1" s="2">
        <v>1</v>
      </c>
      <c r="AH1" s="2">
        <v>1</v>
      </c>
      <c r="AI1" s="2">
        <v>1</v>
      </c>
    </row>
    <row r="2" spans="1:35" ht="73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4" t="s">
        <v>1</v>
      </c>
      <c r="B3">
        <f>SUM(Disease!B3:B709)</f>
        <v>17</v>
      </c>
      <c r="C3">
        <f>SUM(Disease!C3:C709)</f>
        <v>2</v>
      </c>
      <c r="D3">
        <f>SUM(Disease!D3:D709)</f>
        <v>10</v>
      </c>
      <c r="E3">
        <f>SUM(Disease!E3:E709)</f>
        <v>13</v>
      </c>
      <c r="F3">
        <f>SUM(Disease!F3:F709)</f>
        <v>0</v>
      </c>
      <c r="G3">
        <f>SUM(Disease!G3:G709)</f>
        <v>170</v>
      </c>
      <c r="H3">
        <f>SUM(Disease!H3:H709)</f>
        <v>0</v>
      </c>
      <c r="I3">
        <f>SUM(Disease!I3:I709)</f>
        <v>0</v>
      </c>
      <c r="J3">
        <f>SUM(Disease!J3:J709)</f>
        <v>0</v>
      </c>
      <c r="K3">
        <f>SUM(Disease!K3:K709)</f>
        <v>0</v>
      </c>
      <c r="L3">
        <f>SUM(Disease!L3:L709)</f>
        <v>0</v>
      </c>
      <c r="M3">
        <f>SUM(Disease!M3:M709)</f>
        <v>0</v>
      </c>
      <c r="N3">
        <f>SUM(Disease!N3:N709)</f>
        <v>0</v>
      </c>
      <c r="O3">
        <f>SUM(Disease!O3:O709)</f>
        <v>0</v>
      </c>
      <c r="P3">
        <f>SUM(Disease!P3:P709)</f>
        <v>89</v>
      </c>
      <c r="Q3">
        <f>SUM(Disease!Q3:Q709)</f>
        <v>0</v>
      </c>
      <c r="R3">
        <f>SUM(Disease!R3:R709)</f>
        <v>0</v>
      </c>
      <c r="S3">
        <f>SUM(Disease!S3:S709)</f>
        <v>32</v>
      </c>
      <c r="T3">
        <f>SUM(Disease!T3:T709)</f>
        <v>0</v>
      </c>
      <c r="U3">
        <f>SUM(Disease!U3:U709)</f>
        <v>16</v>
      </c>
      <c r="V3">
        <f>SUM(Disease!V3:V709)</f>
        <v>0</v>
      </c>
      <c r="W3">
        <f>SUM(Disease!W3:W709)</f>
        <v>0</v>
      </c>
      <c r="X3">
        <f>SUM(Disease!X3:X709)</f>
        <v>13</v>
      </c>
      <c r="Y3">
        <f>SUM(Disease!Y3:Y709)</f>
        <v>0</v>
      </c>
      <c r="Z3">
        <f>SUM(Disease!Z3:Z709)</f>
        <v>0</v>
      </c>
      <c r="AA3">
        <f>SUM(Disease!AA3:AA709)</f>
        <v>0</v>
      </c>
      <c r="AB3">
        <f>SUM(Disease!AB3:AB709)</f>
        <v>3</v>
      </c>
      <c r="AC3">
        <f>SUM(Disease!AC3:AC709)</f>
        <v>0</v>
      </c>
      <c r="AD3">
        <f>SUM(Disease!AD3:AD709)</f>
        <v>0</v>
      </c>
      <c r="AE3">
        <f>SUM(Disease!AE3:AE709)</f>
        <v>0</v>
      </c>
      <c r="AF3">
        <f>SUM(Disease!AF3:AF709)</f>
        <v>0</v>
      </c>
      <c r="AG3">
        <f>SUM(Disease!AG3:AG709)</f>
        <v>0</v>
      </c>
      <c r="AH3">
        <f>SUM(Disease!AH3:AH709)</f>
        <v>0</v>
      </c>
      <c r="AI3">
        <f>SUM(Disease!AI3:AI709)</f>
        <v>0</v>
      </c>
    </row>
    <row r="4" spans="1:35" x14ac:dyDescent="0.35">
      <c r="A4" s="4" t="s">
        <v>2</v>
      </c>
      <c r="B4">
        <f>SUM('Signal Transduction'!B3:B710)</f>
        <v>97</v>
      </c>
      <c r="C4">
        <f>SUM('Signal Transduction'!C3:C710)</f>
        <v>70</v>
      </c>
      <c r="D4">
        <f>SUM('Signal Transduction'!D3:D710)</f>
        <v>0</v>
      </c>
      <c r="E4">
        <f>SUM('Signal Transduction'!E3:E710)</f>
        <v>9</v>
      </c>
      <c r="F4">
        <f>SUM('Signal Transduction'!F3:F710)</f>
        <v>0</v>
      </c>
      <c r="G4">
        <f>SUM('Signal Transduction'!G3:G710)</f>
        <v>404</v>
      </c>
      <c r="H4">
        <f>SUM('Signal Transduction'!H3:H710)</f>
        <v>0</v>
      </c>
      <c r="I4">
        <f>SUM('Signal Transduction'!I3:I710)</f>
        <v>0</v>
      </c>
      <c r="J4">
        <f>SUM('Signal Transduction'!J3:J710)</f>
        <v>0</v>
      </c>
      <c r="K4">
        <f>SUM('Signal Transduction'!K3:K710)</f>
        <v>19</v>
      </c>
      <c r="L4">
        <f>SUM('Signal Transduction'!L3:L710)</f>
        <v>1</v>
      </c>
      <c r="M4">
        <f>SUM('Signal Transduction'!M3:M710)</f>
        <v>0</v>
      </c>
      <c r="N4">
        <f>SUM('Signal Transduction'!N3:N710)</f>
        <v>0</v>
      </c>
      <c r="O4">
        <f>SUM('Signal Transduction'!O3:O710)</f>
        <v>6</v>
      </c>
      <c r="P4">
        <f>SUM('Signal Transduction'!P3:P710)</f>
        <v>0</v>
      </c>
      <c r="Q4">
        <f>SUM('Signal Transduction'!Q3:Q710)</f>
        <v>0</v>
      </c>
      <c r="R4">
        <f>SUM('Signal Transduction'!R3:R710)</f>
        <v>0</v>
      </c>
      <c r="S4">
        <f>SUM('Signal Transduction'!S3:S710)</f>
        <v>0</v>
      </c>
      <c r="T4">
        <f>SUM('Signal Transduction'!T3:T710)</f>
        <v>0</v>
      </c>
      <c r="U4">
        <f>SUM('Signal Transduction'!U3:U710)</f>
        <v>2</v>
      </c>
      <c r="V4">
        <f>SUM('Signal Transduction'!V3:V710)</f>
        <v>0</v>
      </c>
      <c r="W4">
        <f>SUM('Signal Transduction'!W3:W710)</f>
        <v>0</v>
      </c>
      <c r="X4">
        <f>SUM('Signal Transduction'!X3:X710)</f>
        <v>0</v>
      </c>
      <c r="Y4">
        <f>SUM('Signal Transduction'!Y3:Y710)</f>
        <v>0</v>
      </c>
      <c r="Z4">
        <f>SUM('Signal Transduction'!Z3:Z710)</f>
        <v>0</v>
      </c>
      <c r="AA4">
        <f>SUM('Signal Transduction'!AA3:AA710)</f>
        <v>23</v>
      </c>
      <c r="AB4">
        <f>SUM('Signal Transduction'!AB3:AB710)</f>
        <v>0</v>
      </c>
      <c r="AC4">
        <f>SUM('Signal Transduction'!AC3:AC710)</f>
        <v>0</v>
      </c>
      <c r="AD4">
        <f>SUM('Signal Transduction'!AD3:AD710)</f>
        <v>9</v>
      </c>
      <c r="AE4">
        <f>SUM('Signal Transduction'!AE3:AE710)</f>
        <v>0</v>
      </c>
      <c r="AF4">
        <f>SUM('Signal Transduction'!AF3:AF710)</f>
        <v>62</v>
      </c>
      <c r="AG4">
        <f>SUM('Signal Transduction'!AG3:AG710)</f>
        <v>0</v>
      </c>
      <c r="AH4">
        <f>SUM('Signal Transduction'!AH3:AH710)</f>
        <v>0</v>
      </c>
      <c r="AI4">
        <f>SUM('Signal Transduction'!AI3:AI710)</f>
        <v>19</v>
      </c>
    </row>
    <row r="5" spans="1:35" x14ac:dyDescent="0.35">
      <c r="A5" s="4" t="s">
        <v>3</v>
      </c>
      <c r="B5">
        <f>SUM(Metabolism!B3:B711)</f>
        <v>0</v>
      </c>
      <c r="C5">
        <f>SUM(Metabolism!C3:C711)</f>
        <v>0</v>
      </c>
      <c r="D5">
        <f>SUM(Metabolism!D3:D711)</f>
        <v>20</v>
      </c>
      <c r="E5">
        <f>SUM(Metabolism!E3:E711)</f>
        <v>1</v>
      </c>
      <c r="F5">
        <f>SUM(Metabolism!F3:F711)</f>
        <v>0</v>
      </c>
      <c r="G5">
        <f>SUM(Metabolism!G3:G711)</f>
        <v>0</v>
      </c>
      <c r="H5">
        <f>SUM(Metabolism!H3:H711)</f>
        <v>27</v>
      </c>
      <c r="I5">
        <f>SUM(Metabolism!I3:I711)</f>
        <v>0</v>
      </c>
      <c r="J5">
        <f>SUM(Metabolism!J3:J711)</f>
        <v>0</v>
      </c>
      <c r="K5">
        <f>SUM(Metabolism!K3:K711)</f>
        <v>0</v>
      </c>
      <c r="L5">
        <f>SUM(Metabolism!L3:L711)</f>
        <v>0</v>
      </c>
      <c r="M5">
        <f>SUM(Metabolism!M3:M711)</f>
        <v>0</v>
      </c>
      <c r="N5">
        <f>SUM(Metabolism!N3:N711)</f>
        <v>5</v>
      </c>
      <c r="O5">
        <f>SUM(Metabolism!O3:O711)</f>
        <v>134</v>
      </c>
      <c r="P5">
        <f>SUM(Metabolism!P3:P711)</f>
        <v>0</v>
      </c>
      <c r="Q5">
        <f>SUM(Metabolism!Q3:Q711)</f>
        <v>0</v>
      </c>
      <c r="R5">
        <f>SUM(Metabolism!R3:R711)</f>
        <v>0</v>
      </c>
      <c r="S5">
        <f>SUM(Metabolism!S3:S711)</f>
        <v>0</v>
      </c>
      <c r="T5">
        <f>SUM(Metabolism!T3:T711)</f>
        <v>0</v>
      </c>
      <c r="U5">
        <f>SUM(Metabolism!U3:U711)</f>
        <v>0</v>
      </c>
      <c r="V5">
        <f>SUM(Metabolism!V3:V711)</f>
        <v>0</v>
      </c>
      <c r="W5">
        <f>SUM(Metabolism!W3:W711)</f>
        <v>0</v>
      </c>
      <c r="X5">
        <f>SUM(Metabolism!X3:X711)</f>
        <v>0</v>
      </c>
      <c r="Y5">
        <f>SUM(Metabolism!Y3:Y711)</f>
        <v>0</v>
      </c>
      <c r="Z5">
        <f>SUM(Metabolism!Z3:Z711)</f>
        <v>0</v>
      </c>
      <c r="AA5">
        <f>SUM(Metabolism!AA3:AA711)</f>
        <v>0</v>
      </c>
      <c r="AB5">
        <f>SUM(Metabolism!AB3:AB711)</f>
        <v>0</v>
      </c>
      <c r="AC5">
        <f>SUM(Metabolism!AC3:AC711)</f>
        <v>0</v>
      </c>
      <c r="AD5">
        <f>SUM(Metabolism!AD3:AD711)</f>
        <v>0</v>
      </c>
      <c r="AE5">
        <f>SUM(Metabolism!AE3:AE711)</f>
        <v>0</v>
      </c>
      <c r="AF5">
        <f>SUM(Metabolism!AF3:AF711)</f>
        <v>0</v>
      </c>
      <c r="AG5">
        <f>SUM(Metabolism!AG3:AG711)</f>
        <v>0</v>
      </c>
      <c r="AH5">
        <f>SUM(Metabolism!AH3:AH711)</f>
        <v>0</v>
      </c>
      <c r="AI5">
        <f>SUM(Metabolism!AI3:AI711)</f>
        <v>0</v>
      </c>
    </row>
    <row r="6" spans="1:35" x14ac:dyDescent="0.35">
      <c r="A6" s="4" t="s">
        <v>4</v>
      </c>
      <c r="B6">
        <f>SUM('Immune System'!B3:B712)</f>
        <v>0</v>
      </c>
      <c r="C6">
        <f>SUM('Immune System'!C3:C712)</f>
        <v>0</v>
      </c>
      <c r="D6">
        <f>SUM('Immune System'!D3:D712)</f>
        <v>0</v>
      </c>
      <c r="E6">
        <f>SUM('Immune System'!E3:E712)</f>
        <v>195</v>
      </c>
      <c r="F6">
        <f>SUM('Immune System'!F3:F712)</f>
        <v>0</v>
      </c>
      <c r="G6">
        <f>SUM('Immune System'!G3:G712)</f>
        <v>0</v>
      </c>
      <c r="H6">
        <f>SUM('Immune System'!H3:H712)</f>
        <v>0</v>
      </c>
      <c r="I6">
        <f>SUM('Immune System'!I3:I712)</f>
        <v>0</v>
      </c>
      <c r="J6">
        <f>SUM('Immune System'!J3:J712)</f>
        <v>0</v>
      </c>
      <c r="K6">
        <f>SUM('Immune System'!K3:K712)</f>
        <v>0</v>
      </c>
      <c r="L6">
        <f>SUM('Immune System'!L3:L712)</f>
        <v>0</v>
      </c>
      <c r="M6">
        <f>SUM('Immune System'!M3:M712)</f>
        <v>6</v>
      </c>
      <c r="N6">
        <f>SUM('Immune System'!N3:N712)</f>
        <v>0</v>
      </c>
      <c r="O6">
        <f>SUM('Immune System'!O3:O712)</f>
        <v>0</v>
      </c>
      <c r="P6">
        <f>SUM('Immune System'!P3:P712)</f>
        <v>0</v>
      </c>
      <c r="Q6">
        <f>SUM('Immune System'!Q3:Q712)</f>
        <v>0</v>
      </c>
      <c r="R6">
        <f>SUM('Immune System'!R3:R712)</f>
        <v>9</v>
      </c>
      <c r="S6">
        <f>SUM('Immune System'!S3:S712)</f>
        <v>0</v>
      </c>
      <c r="T6">
        <f>SUM('Immune System'!T3:T712)</f>
        <v>103</v>
      </c>
      <c r="U6">
        <f>SUM('Immune System'!U3:U712)</f>
        <v>0</v>
      </c>
      <c r="V6">
        <f>SUM('Immune System'!V3:V712)</f>
        <v>0</v>
      </c>
      <c r="W6">
        <f>SUM('Immune System'!W3:W712)</f>
        <v>0</v>
      </c>
      <c r="X6">
        <f>SUM('Immune System'!X3:X712)</f>
        <v>86</v>
      </c>
      <c r="Y6">
        <f>SUM('Immune System'!Y3:Y712)</f>
        <v>1</v>
      </c>
      <c r="Z6">
        <f>SUM('Immune System'!Z3:Z712)</f>
        <v>2</v>
      </c>
      <c r="AA6">
        <f>SUM('Immune System'!AA3:AA712)</f>
        <v>5</v>
      </c>
      <c r="AB6">
        <f>SUM('Immune System'!AB3:AB712)</f>
        <v>0</v>
      </c>
      <c r="AC6">
        <f>SUM('Immune System'!AC3:AC712)</f>
        <v>0</v>
      </c>
      <c r="AD6">
        <f>SUM('Immune System'!AD3:AD712)</f>
        <v>0</v>
      </c>
      <c r="AE6">
        <f>SUM('Immune System'!AE3:AE712)</f>
        <v>0</v>
      </c>
      <c r="AF6">
        <f>SUM('Immune System'!AF3:AF712)</f>
        <v>0</v>
      </c>
      <c r="AG6">
        <f>SUM('Immune System'!AG3:AG712)</f>
        <v>0</v>
      </c>
      <c r="AH6">
        <f>SUM('Immune System'!AH3:AH712)</f>
        <v>0</v>
      </c>
      <c r="AI6">
        <f>SUM('Immune System'!AI3:AI712)</f>
        <v>6</v>
      </c>
    </row>
    <row r="7" spans="1:35" x14ac:dyDescent="0.35">
      <c r="A7" s="10" t="s">
        <v>5</v>
      </c>
      <c r="B7">
        <f>SUM('Cell Cycle'!B3:B713)</f>
        <v>123</v>
      </c>
      <c r="C7">
        <f>SUM('Cell Cycle'!C3:C713)</f>
        <v>0</v>
      </c>
      <c r="D7">
        <f>SUM('Cell Cycle'!D3:D713)</f>
        <v>0</v>
      </c>
      <c r="E7">
        <f>SUM('Cell Cycle'!E3:E713)</f>
        <v>0</v>
      </c>
      <c r="F7">
        <f>SUM('Cell Cycle'!F3:F713)</f>
        <v>0</v>
      </c>
      <c r="G7">
        <f>SUM('Cell Cycle'!G3:G713)</f>
        <v>0</v>
      </c>
      <c r="H7">
        <f>SUM('Cell Cycle'!H3:H713)</f>
        <v>0</v>
      </c>
      <c r="I7">
        <f>SUM('Cell Cycle'!I3:I713)</f>
        <v>13</v>
      </c>
      <c r="J7">
        <f>SUM('Cell Cycle'!J3:J713)</f>
        <v>0</v>
      </c>
      <c r="K7">
        <f>SUM('Cell Cycle'!K3:K713)</f>
        <v>0</v>
      </c>
      <c r="L7">
        <f>SUM('Cell Cycle'!L3:L713)</f>
        <v>0</v>
      </c>
      <c r="M7">
        <f>SUM('Cell Cycle'!M3:M713)</f>
        <v>0</v>
      </c>
      <c r="N7">
        <f>SUM('Cell Cycle'!N3:N713)</f>
        <v>0</v>
      </c>
      <c r="O7">
        <f>SUM('Cell Cycle'!O3:O713)</f>
        <v>0</v>
      </c>
      <c r="P7">
        <f>SUM('Cell Cycle'!P3:P713)</f>
        <v>0</v>
      </c>
      <c r="Q7">
        <f>SUM('Cell Cycle'!Q3:Q713)</f>
        <v>8</v>
      </c>
      <c r="R7">
        <f>SUM('Cell Cycle'!R3:R713)</f>
        <v>0</v>
      </c>
      <c r="S7">
        <f>SUM('Cell Cycle'!S3:S713)</f>
        <v>13</v>
      </c>
      <c r="T7">
        <f>SUM('Cell Cycle'!T3:T713)</f>
        <v>0</v>
      </c>
      <c r="U7">
        <f>SUM('Cell Cycle'!U3:U713)</f>
        <v>0</v>
      </c>
      <c r="V7">
        <f>SUM('Cell Cycle'!V3:V713)</f>
        <v>0</v>
      </c>
      <c r="W7">
        <f>SUM('Cell Cycle'!W3:W713)</f>
        <v>0</v>
      </c>
      <c r="X7">
        <f>SUM('Cell Cycle'!X3:X713)</f>
        <v>0</v>
      </c>
      <c r="Y7">
        <f>SUM('Cell Cycle'!Y3:Y713)</f>
        <v>0</v>
      </c>
      <c r="Z7">
        <f>SUM('Cell Cycle'!Z3:Z713)</f>
        <v>0</v>
      </c>
      <c r="AA7">
        <f>SUM('Cell Cycle'!AA3:AA713)</f>
        <v>0</v>
      </c>
      <c r="AB7">
        <f>SUM('Cell Cycle'!AB3:AB713)</f>
        <v>0</v>
      </c>
      <c r="AC7">
        <f>SUM('Cell Cycle'!AC3:AC713)</f>
        <v>10</v>
      </c>
      <c r="AD7">
        <f>SUM('Cell Cycle'!AD3:AD713)</f>
        <v>0</v>
      </c>
      <c r="AE7">
        <f>SUM('Cell Cycle'!AE3:AE713)</f>
        <v>0</v>
      </c>
      <c r="AF7">
        <f>SUM('Cell Cycle'!AF3:AF713)</f>
        <v>0</v>
      </c>
      <c r="AG7">
        <f>SUM('Cell Cycle'!AG3:AG713)</f>
        <v>0</v>
      </c>
      <c r="AH7">
        <f>SUM('Cell Cycle'!AH3:AH713)</f>
        <v>0</v>
      </c>
      <c r="AI7">
        <f>SUM('Cell Cycle'!AI3:AI713)</f>
        <v>0</v>
      </c>
    </row>
    <row r="8" spans="1:35" ht="29" x14ac:dyDescent="0.35">
      <c r="A8" s="4" t="s">
        <v>6</v>
      </c>
      <c r="B8">
        <f>SUM('Gene expression (Transcription)'!B3:B714)</f>
        <v>24</v>
      </c>
      <c r="C8">
        <f>SUM('Gene expression (Transcription)'!C3:C714)</f>
        <v>0</v>
      </c>
      <c r="D8">
        <f>SUM('Gene expression (Transcription)'!D3:D714)</f>
        <v>3</v>
      </c>
      <c r="E8">
        <f>SUM('Gene expression (Transcription)'!E3:E714)</f>
        <v>0</v>
      </c>
      <c r="F8">
        <f>SUM('Gene expression (Transcription)'!F3:F714)</f>
        <v>12</v>
      </c>
      <c r="G8">
        <f>SUM('Gene expression (Transcription)'!G3:G714)</f>
        <v>1</v>
      </c>
      <c r="H8">
        <f>SUM('Gene expression (Transcription)'!H3:H714)</f>
        <v>3</v>
      </c>
      <c r="I8">
        <f>SUM('Gene expression (Transcription)'!I3:I714)</f>
        <v>1</v>
      </c>
      <c r="J8">
        <f>SUM('Gene expression (Transcription)'!J3:J714)</f>
        <v>0</v>
      </c>
      <c r="K8">
        <f>SUM('Gene expression (Transcription)'!K3:K714)</f>
        <v>0</v>
      </c>
      <c r="L8">
        <f>SUM('Gene expression (Transcription)'!L3:L714)</f>
        <v>0</v>
      </c>
      <c r="M8">
        <f>SUM('Gene expression (Transcription)'!M3:M714)</f>
        <v>0</v>
      </c>
      <c r="N8">
        <f>SUM('Gene expression (Transcription)'!N3:N714)</f>
        <v>0</v>
      </c>
      <c r="O8">
        <f>SUM('Gene expression (Transcription)'!O3:O714)</f>
        <v>0</v>
      </c>
      <c r="P8">
        <f>SUM('Gene expression (Transcription)'!P3:P714)</f>
        <v>0</v>
      </c>
      <c r="Q8">
        <f>SUM('Gene expression (Transcription)'!Q3:Q714)</f>
        <v>0</v>
      </c>
      <c r="R8">
        <f>SUM('Gene expression (Transcription)'!R3:R714)</f>
        <v>0</v>
      </c>
      <c r="S8">
        <f>SUM('Gene expression (Transcription)'!S3:S714)</f>
        <v>1</v>
      </c>
      <c r="T8">
        <f>SUM('Gene expression (Transcription)'!T3:T714)</f>
        <v>0</v>
      </c>
      <c r="U8">
        <f>SUM('Gene expression (Transcription)'!U3:U714)</f>
        <v>0</v>
      </c>
      <c r="V8">
        <f>SUM('Gene expression (Transcription)'!V3:V714)</f>
        <v>0</v>
      </c>
      <c r="W8">
        <f>SUM('Gene expression (Transcription)'!W3:W714)</f>
        <v>0</v>
      </c>
      <c r="X8">
        <f>SUM('Gene expression (Transcription)'!X3:X714)</f>
        <v>3</v>
      </c>
      <c r="Y8">
        <f>SUM('Gene expression (Transcription)'!Y3:Y714)</f>
        <v>1</v>
      </c>
      <c r="Z8">
        <f>SUM('Gene expression (Transcription)'!Z3:Z714)</f>
        <v>0</v>
      </c>
      <c r="AA8">
        <f>SUM('Gene expression (Transcription)'!AA3:AA714)</f>
        <v>0</v>
      </c>
      <c r="AB8">
        <f>SUM('Gene expression (Transcription)'!AB3:AB714)</f>
        <v>0</v>
      </c>
      <c r="AC8">
        <f>SUM('Gene expression (Transcription)'!AC3:AC714)</f>
        <v>20</v>
      </c>
      <c r="AD8">
        <f>SUM('Gene expression (Transcription)'!AD3:AD714)</f>
        <v>0</v>
      </c>
      <c r="AE8">
        <f>SUM('Gene expression (Transcription)'!AE3:AE714)</f>
        <v>0</v>
      </c>
      <c r="AF8">
        <f>SUM('Gene expression (Transcription)'!AF3:AF714)</f>
        <v>0</v>
      </c>
      <c r="AG8">
        <f>SUM('Gene expression (Transcription)'!AG3:AG714)</f>
        <v>0</v>
      </c>
      <c r="AH8">
        <f>SUM('Gene expression (Transcription)'!AH3:AH714)</f>
        <v>0</v>
      </c>
      <c r="AI8">
        <f>SUM('Gene expression (Transcription)'!AI3:AI714)</f>
        <v>7</v>
      </c>
    </row>
    <row r="9" spans="1:35" x14ac:dyDescent="0.35">
      <c r="A9" s="4" t="s">
        <v>7</v>
      </c>
      <c r="B9">
        <f>SUM('Metabolism of proteins'!B3:B715)</f>
        <v>1</v>
      </c>
      <c r="C9">
        <f>SUM('Metabolism of proteins'!C3:C715)</f>
        <v>0</v>
      </c>
      <c r="D9">
        <f>SUM('Metabolism of proteins'!D3:D715)</f>
        <v>1</v>
      </c>
      <c r="E9">
        <f>SUM('Metabolism of proteins'!E3:E715)</f>
        <v>1</v>
      </c>
      <c r="F9">
        <f>SUM('Metabolism of proteins'!F3:F715)</f>
        <v>1</v>
      </c>
      <c r="G9">
        <f>SUM('Metabolism of proteins'!G3:G715)</f>
        <v>0</v>
      </c>
      <c r="H9">
        <f>SUM('Metabolism of proteins'!H3:H715)</f>
        <v>5</v>
      </c>
      <c r="I9">
        <f>SUM('Metabolism of proteins'!I3:I715)</f>
        <v>1</v>
      </c>
      <c r="J9">
        <f>SUM('Metabolism of proteins'!J3:J715)</f>
        <v>0</v>
      </c>
      <c r="K9">
        <f>SUM('Metabolism of proteins'!K3:K715)</f>
        <v>0</v>
      </c>
      <c r="L9">
        <f>SUM('Metabolism of proteins'!L3:L715)</f>
        <v>0</v>
      </c>
      <c r="M9">
        <f>SUM('Metabolism of proteins'!M3:M715)</f>
        <v>0</v>
      </c>
      <c r="N9">
        <f>SUM('Metabolism of proteins'!N3:N715)</f>
        <v>7</v>
      </c>
      <c r="O9">
        <f>SUM('Metabolism of proteins'!O3:O715)</f>
        <v>118</v>
      </c>
      <c r="P9">
        <f>SUM('Metabolism of proteins'!P3:P715)</f>
        <v>0</v>
      </c>
      <c r="Q9">
        <f>SUM('Metabolism of proteins'!Q3:Q715)</f>
        <v>0</v>
      </c>
      <c r="R9">
        <f>SUM('Metabolism of proteins'!R3:R715)</f>
        <v>0</v>
      </c>
      <c r="S9">
        <f>SUM('Metabolism of proteins'!S3:S715)</f>
        <v>1</v>
      </c>
      <c r="T9">
        <f>SUM('Metabolism of proteins'!T3:T715)</f>
        <v>0</v>
      </c>
      <c r="U9">
        <f>SUM('Metabolism of proteins'!U3:U715)</f>
        <v>0</v>
      </c>
      <c r="V9">
        <f>SUM('Metabolism of proteins'!V3:V715)</f>
        <v>8</v>
      </c>
      <c r="W9">
        <f>SUM('Metabolism of proteins'!W3:W715)</f>
        <v>8</v>
      </c>
      <c r="X9">
        <f>SUM('Metabolism of proteins'!X3:X715)</f>
        <v>0</v>
      </c>
      <c r="Y9">
        <f>SUM('Metabolism of proteins'!Y3:Y715)</f>
        <v>0</v>
      </c>
      <c r="Z9">
        <f>SUM('Metabolism of proteins'!Z3:Z715)</f>
        <v>0</v>
      </c>
      <c r="AA9">
        <f>SUM('Metabolism of proteins'!AA3:AA715)</f>
        <v>0</v>
      </c>
      <c r="AB9">
        <f>SUM('Metabolism of proteins'!AB3:AB715)</f>
        <v>0</v>
      </c>
      <c r="AC9">
        <f>SUM('Metabolism of proteins'!AC3:AC715)</f>
        <v>0</v>
      </c>
      <c r="AD9">
        <f>SUM('Metabolism of proteins'!AD3:AD715)</f>
        <v>0</v>
      </c>
      <c r="AE9">
        <f>SUM('Metabolism of proteins'!AE3:AE715)</f>
        <v>1</v>
      </c>
      <c r="AF9">
        <f>SUM('Metabolism of proteins'!AF3:AF715)</f>
        <v>0</v>
      </c>
      <c r="AG9">
        <f>SUM('Metabolism of proteins'!AG3:AG715)</f>
        <v>0</v>
      </c>
      <c r="AH9">
        <f>SUM('Metabolism of proteins'!AH3:AH715)</f>
        <v>0</v>
      </c>
      <c r="AI9">
        <f>SUM('Metabolism of proteins'!AI3:AI715)</f>
        <v>0</v>
      </c>
    </row>
    <row r="10" spans="1:35" x14ac:dyDescent="0.35">
      <c r="A10" s="10" t="s">
        <v>8</v>
      </c>
      <c r="B10">
        <f>SUM('Neuronal System'!B3:B716)</f>
        <v>0</v>
      </c>
      <c r="C10">
        <f>SUM('Neuronal System'!C3:C716)</f>
        <v>0</v>
      </c>
      <c r="D10">
        <f>SUM('Neuronal System'!D3:D716)</f>
        <v>0</v>
      </c>
      <c r="E10">
        <f>SUM('Neuronal System'!E3:E716)</f>
        <v>0</v>
      </c>
      <c r="F10">
        <f>SUM('Neuronal System'!F3:F716)</f>
        <v>0</v>
      </c>
      <c r="G10">
        <f>SUM('Neuronal System'!G3:G716)</f>
        <v>0</v>
      </c>
      <c r="H10">
        <f>SUM('Neuronal System'!H3:H716)</f>
        <v>0</v>
      </c>
      <c r="I10">
        <f>SUM('Neuronal System'!I3:I716)</f>
        <v>0</v>
      </c>
      <c r="J10">
        <f>SUM('Neuronal System'!J3:J716)</f>
        <v>0</v>
      </c>
      <c r="K10">
        <f>SUM('Neuronal System'!K3:K716)</f>
        <v>0</v>
      </c>
      <c r="L10">
        <f>SUM('Neuronal System'!L3:L716)</f>
        <v>0</v>
      </c>
      <c r="M10">
        <f>SUM('Neuronal System'!M3:M716)</f>
        <v>0</v>
      </c>
      <c r="N10">
        <f>SUM('Neuronal System'!N3:N716)</f>
        <v>0</v>
      </c>
      <c r="O10">
        <f>SUM('Neuronal System'!O3:O716)</f>
        <v>0</v>
      </c>
      <c r="P10">
        <f>SUM('Neuronal System'!P3:P716)</f>
        <v>0</v>
      </c>
      <c r="Q10">
        <f>SUM('Neuronal System'!Q3:Q716)</f>
        <v>0</v>
      </c>
      <c r="R10">
        <f>SUM('Neuronal System'!R3:R716)</f>
        <v>0</v>
      </c>
      <c r="S10">
        <f>SUM('Neuronal System'!S3:S716)</f>
        <v>0</v>
      </c>
      <c r="T10">
        <f>SUM('Neuronal System'!T3:T716)</f>
        <v>0</v>
      </c>
      <c r="U10">
        <f>SUM('Neuronal System'!U3:U716)</f>
        <v>0</v>
      </c>
      <c r="V10">
        <f>SUM('Neuronal System'!V3:V716)</f>
        <v>0</v>
      </c>
      <c r="W10">
        <f>SUM('Neuronal System'!W3:W716)</f>
        <v>0</v>
      </c>
      <c r="X10">
        <f>SUM('Neuronal System'!X3:X716)</f>
        <v>0</v>
      </c>
      <c r="Y10">
        <f>SUM('Neuronal System'!Y3:Y716)</f>
        <v>0</v>
      </c>
      <c r="Z10">
        <f>SUM('Neuronal System'!Z3:Z716)</f>
        <v>0</v>
      </c>
      <c r="AA10">
        <f>SUM('Neuronal System'!AA3:AA716)</f>
        <v>0</v>
      </c>
      <c r="AB10">
        <f>SUM('Neuronal System'!AB3:AB716)</f>
        <v>0</v>
      </c>
      <c r="AC10">
        <f>SUM('Neuronal System'!AC3:AC716)</f>
        <v>0</v>
      </c>
      <c r="AD10">
        <f>SUM('Neuronal System'!AD3:AD716)</f>
        <v>0</v>
      </c>
      <c r="AE10">
        <f>SUM('Neuronal System'!AE3:AE716)</f>
        <v>0</v>
      </c>
      <c r="AF10">
        <f>SUM('Neuronal System'!AF3:AF716)</f>
        <v>0</v>
      </c>
      <c r="AG10">
        <f>SUM('Neuronal System'!AG3:AG716)</f>
        <v>7</v>
      </c>
      <c r="AH10">
        <f>SUM('Neuronal System'!AH3:AH716)</f>
        <v>28</v>
      </c>
      <c r="AI10">
        <f>SUM('Neuronal System'!AI3:AI716)</f>
        <v>0</v>
      </c>
    </row>
    <row r="11" spans="1:35" x14ac:dyDescent="0.35">
      <c r="A11" s="4" t="s">
        <v>9</v>
      </c>
      <c r="B11">
        <f>SUM('Developmental Biology'!B3:B717)</f>
        <v>0</v>
      </c>
      <c r="C11">
        <f>SUM('Developmental Biology'!C3:C717)</f>
        <v>0</v>
      </c>
      <c r="D11">
        <f>SUM('Developmental Biology'!D3:D717)</f>
        <v>0</v>
      </c>
      <c r="E11">
        <f>SUM('Developmental Biology'!E3:E717)</f>
        <v>0</v>
      </c>
      <c r="F11">
        <f>SUM('Developmental Biology'!F3:F717)</f>
        <v>0</v>
      </c>
      <c r="G11">
        <f>SUM('Developmental Biology'!G3:G717)</f>
        <v>0</v>
      </c>
      <c r="H11">
        <f>SUM('Developmental Biology'!H3:H717)</f>
        <v>0</v>
      </c>
      <c r="I11">
        <f>SUM('Developmental Biology'!I3:I717)</f>
        <v>0</v>
      </c>
      <c r="J11">
        <f>SUM('Developmental Biology'!J3:J717)</f>
        <v>0</v>
      </c>
      <c r="K11">
        <f>SUM('Developmental Biology'!K3:K717)</f>
        <v>0</v>
      </c>
      <c r="L11">
        <f>SUM('Developmental Biology'!L3:L717)</f>
        <v>0</v>
      </c>
      <c r="M11">
        <f>SUM('Developmental Biology'!M3:M717)</f>
        <v>0</v>
      </c>
      <c r="N11">
        <f>SUM('Developmental Biology'!N3:N717)</f>
        <v>0</v>
      </c>
      <c r="O11">
        <f>SUM('Developmental Biology'!O3:O717)</f>
        <v>0</v>
      </c>
      <c r="P11">
        <f>SUM('Developmental Biology'!P3:P717)</f>
        <v>0</v>
      </c>
      <c r="Q11">
        <f>SUM('Developmental Biology'!Q3:Q717)</f>
        <v>2</v>
      </c>
      <c r="R11">
        <f>SUM('Developmental Biology'!R3:R717)</f>
        <v>0</v>
      </c>
      <c r="S11">
        <f>SUM('Developmental Biology'!S3:S717)</f>
        <v>0</v>
      </c>
      <c r="T11">
        <f>SUM('Developmental Biology'!T3:T717)</f>
        <v>0</v>
      </c>
      <c r="U11">
        <f>SUM('Developmental Biology'!U3:U717)</f>
        <v>0</v>
      </c>
      <c r="V11">
        <f>SUM('Developmental Biology'!V3:V717)</f>
        <v>0</v>
      </c>
      <c r="W11">
        <f>SUM('Developmental Biology'!W3:W717)</f>
        <v>0</v>
      </c>
      <c r="X11">
        <f>SUM('Developmental Biology'!X3:X717)</f>
        <v>0</v>
      </c>
      <c r="Y11">
        <f>SUM('Developmental Biology'!Y3:Y717)</f>
        <v>0</v>
      </c>
      <c r="Z11">
        <f>SUM('Developmental Biology'!Z3:Z717)</f>
        <v>0</v>
      </c>
      <c r="AA11">
        <f>SUM('Developmental Biology'!AA3:AA717)</f>
        <v>0</v>
      </c>
      <c r="AB11">
        <f>SUM('Developmental Biology'!AB3:AB717)</f>
        <v>0</v>
      </c>
      <c r="AC11">
        <f>SUM('Developmental Biology'!AC3:AC717)</f>
        <v>3</v>
      </c>
      <c r="AD11">
        <f>SUM('Developmental Biology'!AD3:AD717)</f>
        <v>0</v>
      </c>
      <c r="AE11">
        <f>SUM('Developmental Biology'!AE3:AE717)</f>
        <v>0</v>
      </c>
      <c r="AF11">
        <f>SUM('Developmental Biology'!AF3:AF717)</f>
        <v>0</v>
      </c>
      <c r="AG11">
        <f>SUM('Developmental Biology'!AG3:AG717)</f>
        <v>0</v>
      </c>
      <c r="AH11">
        <f>SUM('Developmental Biology'!AH3:AH717)</f>
        <v>0</v>
      </c>
      <c r="AI11">
        <f>SUM('Developmental Biology'!AI3:AI717)</f>
        <v>0</v>
      </c>
    </row>
    <row r="12" spans="1:35" ht="29" x14ac:dyDescent="0.35">
      <c r="A12" s="4" t="s">
        <v>10</v>
      </c>
      <c r="B12">
        <f>SUM('Transport of small molecules'!B3:B718)</f>
        <v>0</v>
      </c>
      <c r="C12">
        <f>SUM('Transport of small molecules'!C3:C718)</f>
        <v>0</v>
      </c>
      <c r="D12">
        <f>SUM('Transport of small molecules'!D3:D718)</f>
        <v>0</v>
      </c>
      <c r="E12">
        <f>SUM('Transport of small molecules'!E3:E718)</f>
        <v>0</v>
      </c>
      <c r="F12">
        <f>SUM('Transport of small molecules'!F3:F718)</f>
        <v>0</v>
      </c>
      <c r="G12">
        <f>SUM('Transport of small molecules'!G3:G718)</f>
        <v>0</v>
      </c>
      <c r="H12">
        <f>SUM('Transport of small molecules'!H3:H718)</f>
        <v>3</v>
      </c>
      <c r="I12">
        <f>SUM('Transport of small molecules'!I3:I718)</f>
        <v>0</v>
      </c>
      <c r="J12">
        <f>SUM('Transport of small molecules'!J3:J718)</f>
        <v>0</v>
      </c>
      <c r="K12">
        <f>SUM('Transport of small molecules'!K3:K718)</f>
        <v>0</v>
      </c>
      <c r="L12">
        <f>SUM('Transport of small molecules'!L3:L718)</f>
        <v>0</v>
      </c>
      <c r="M12">
        <f>SUM('Transport of small molecules'!M3:M718)</f>
        <v>0</v>
      </c>
      <c r="N12">
        <f>SUM('Transport of small molecules'!N3:N718)</f>
        <v>0</v>
      </c>
      <c r="O12">
        <f>SUM('Transport of small molecules'!O3:O718)</f>
        <v>21</v>
      </c>
      <c r="P12">
        <f>SUM('Transport of small molecules'!P3:P718)</f>
        <v>68</v>
      </c>
      <c r="Q12">
        <f>SUM('Transport of small molecules'!Q3:Q718)</f>
        <v>0</v>
      </c>
      <c r="R12">
        <f>SUM('Transport of small molecules'!R3:R718)</f>
        <v>0</v>
      </c>
      <c r="S12">
        <f>SUM('Transport of small molecules'!S3:S718)</f>
        <v>0</v>
      </c>
      <c r="T12">
        <f>SUM('Transport of small molecules'!T3:T718)</f>
        <v>0</v>
      </c>
      <c r="U12">
        <f>SUM('Transport of small molecules'!U3:U718)</f>
        <v>0</v>
      </c>
      <c r="V12">
        <f>SUM('Transport of small molecules'!V3:V718)</f>
        <v>0</v>
      </c>
      <c r="W12">
        <f>SUM('Transport of small molecules'!W3:W718)</f>
        <v>0</v>
      </c>
      <c r="X12">
        <f>SUM('Transport of small molecules'!X3:X718)</f>
        <v>0</v>
      </c>
      <c r="Y12">
        <f>SUM('Transport of small molecules'!Y3:Y718)</f>
        <v>0</v>
      </c>
      <c r="Z12">
        <f>SUM('Transport of small molecules'!Z3:Z718)</f>
        <v>0</v>
      </c>
      <c r="AA12">
        <f>SUM('Transport of small molecules'!AA3:AA718)</f>
        <v>0</v>
      </c>
      <c r="AB12">
        <f>SUM('Transport of small molecules'!AB3:AB718)</f>
        <v>0</v>
      </c>
      <c r="AC12">
        <f>SUM('Transport of small molecules'!AC3:AC718)</f>
        <v>0</v>
      </c>
      <c r="AD12">
        <f>SUM('Transport of small molecules'!AD3:AD718)</f>
        <v>0</v>
      </c>
      <c r="AE12">
        <f>SUM('Transport of small molecules'!AE3:AE718)</f>
        <v>0</v>
      </c>
      <c r="AF12">
        <f>SUM('Transport of small molecules'!AF3:AF718)</f>
        <v>0</v>
      </c>
      <c r="AG12">
        <f>SUM('Transport of small molecules'!AG3:AG718)</f>
        <v>2</v>
      </c>
      <c r="AH12">
        <f>SUM('Transport of small molecules'!AH3:AH718)</f>
        <v>0</v>
      </c>
      <c r="AI12">
        <f>SUM('Transport of small molecules'!AI3:AI718)</f>
        <v>0</v>
      </c>
    </row>
    <row r="13" spans="1:35" x14ac:dyDescent="0.35">
      <c r="A13" s="4" t="s">
        <v>11</v>
      </c>
      <c r="B13">
        <f>SUM('DNA Repair'!B3:B719)</f>
        <v>0</v>
      </c>
      <c r="C13">
        <f>SUM('DNA Repair'!C3:C719)</f>
        <v>0</v>
      </c>
      <c r="D13">
        <f>SUM('DNA Repair'!D3:D719)</f>
        <v>0</v>
      </c>
      <c r="E13">
        <f>SUM('DNA Repair'!E3:E719)</f>
        <v>0</v>
      </c>
      <c r="F13">
        <f>SUM('DNA Repair'!F3:F719)</f>
        <v>0</v>
      </c>
      <c r="G13">
        <f>SUM('DNA Repair'!G3:G719)</f>
        <v>0</v>
      </c>
      <c r="H13">
        <f>SUM('DNA Repair'!H3:H719)</f>
        <v>0</v>
      </c>
      <c r="I13">
        <f>SUM('DNA Repair'!I3:I719)</f>
        <v>64</v>
      </c>
      <c r="J13">
        <f>SUM('DNA Repair'!J3:J719)</f>
        <v>0</v>
      </c>
      <c r="K13">
        <f>SUM('DNA Repair'!K3:K719)</f>
        <v>0</v>
      </c>
      <c r="L13">
        <f>SUM('DNA Repair'!L3:L719)</f>
        <v>0</v>
      </c>
      <c r="M13">
        <f>SUM('DNA Repair'!M3:M719)</f>
        <v>0</v>
      </c>
      <c r="N13">
        <f>SUM('DNA Repair'!N3:N719)</f>
        <v>0</v>
      </c>
      <c r="O13">
        <f>SUM('DNA Repair'!O3:O719)</f>
        <v>0</v>
      </c>
      <c r="P13">
        <f>SUM('DNA Repair'!P3:P719)</f>
        <v>0</v>
      </c>
      <c r="Q13">
        <f>SUM('DNA Repair'!Q3:Q719)</f>
        <v>0</v>
      </c>
      <c r="R13">
        <f>SUM('DNA Repair'!R3:R719)</f>
        <v>0</v>
      </c>
      <c r="S13">
        <f>SUM('DNA Repair'!S3:S719)</f>
        <v>64</v>
      </c>
      <c r="T13">
        <f>SUM('DNA Repair'!T3:T719)</f>
        <v>0</v>
      </c>
      <c r="U13">
        <f>SUM('DNA Repair'!U3:U719)</f>
        <v>0</v>
      </c>
      <c r="V13">
        <f>SUM('DNA Repair'!V3:V719)</f>
        <v>0</v>
      </c>
      <c r="W13">
        <f>SUM('DNA Repair'!W3:W719)</f>
        <v>0</v>
      </c>
      <c r="X13">
        <f>SUM('DNA Repair'!X3:X719)</f>
        <v>0</v>
      </c>
      <c r="Y13">
        <f>SUM('DNA Repair'!Y3:Y719)</f>
        <v>0</v>
      </c>
      <c r="Z13">
        <f>SUM('DNA Repair'!Z3:Z719)</f>
        <v>0</v>
      </c>
      <c r="AA13">
        <f>SUM('DNA Repair'!AA3:AA719)</f>
        <v>0</v>
      </c>
      <c r="AB13">
        <f>SUM('DNA Repair'!AB3:AB719)</f>
        <v>0</v>
      </c>
      <c r="AC13">
        <f>SUM('DNA Repair'!AC3:AC719)</f>
        <v>0</v>
      </c>
      <c r="AD13">
        <f>SUM('DNA Repair'!AD3:AD719)</f>
        <v>0</v>
      </c>
      <c r="AE13">
        <f>SUM('DNA Repair'!AE3:AE719)</f>
        <v>0</v>
      </c>
      <c r="AF13">
        <f>SUM('DNA Repair'!AF3:AF719)</f>
        <v>0</v>
      </c>
      <c r="AG13">
        <f>SUM('DNA Repair'!AG3:AG719)</f>
        <v>0</v>
      </c>
      <c r="AH13">
        <f>SUM('DNA Repair'!AH3:AH719)</f>
        <v>0</v>
      </c>
      <c r="AI13">
        <f>SUM('DNA Repair'!AI3:AI719)</f>
        <v>0</v>
      </c>
    </row>
    <row r="14" spans="1:35" ht="29" x14ac:dyDescent="0.35">
      <c r="A14" s="4" t="s">
        <v>12</v>
      </c>
      <c r="B14">
        <f>SUM('Cellular responses to stimuli'!B3:B720)</f>
        <v>6</v>
      </c>
      <c r="C14">
        <f>SUM('Cellular responses to stimuli'!C3:C720)</f>
        <v>0</v>
      </c>
      <c r="D14">
        <f>SUM('Cellular responses to stimuli'!D3:D720)</f>
        <v>17</v>
      </c>
      <c r="E14">
        <f>SUM('Cellular responses to stimuli'!E3:E720)</f>
        <v>11</v>
      </c>
      <c r="F14">
        <f>SUM('Cellular responses to stimuli'!F3:F720)</f>
        <v>0</v>
      </c>
      <c r="G14">
        <f>SUM('Cellular responses to stimuli'!G3:G720)</f>
        <v>0</v>
      </c>
      <c r="H14">
        <f>SUM('Cellular responses to stimuli'!H3:H720)</f>
        <v>3</v>
      </c>
      <c r="I14">
        <f>SUM('Cellular responses to stimuli'!I3:I720)</f>
        <v>1</v>
      </c>
      <c r="J14">
        <f>SUM('Cellular responses to stimuli'!J3:J720)</f>
        <v>11</v>
      </c>
      <c r="K14">
        <f>SUM('Cellular responses to stimuli'!K3:K720)</f>
        <v>0</v>
      </c>
      <c r="L14">
        <f>SUM('Cellular responses to stimuli'!L3:L720)</f>
        <v>0</v>
      </c>
      <c r="M14">
        <f>SUM('Cellular responses to stimuli'!M3:M720)</f>
        <v>0</v>
      </c>
      <c r="N14">
        <f>SUM('Cellular responses to stimuli'!N3:N720)</f>
        <v>0</v>
      </c>
      <c r="O14">
        <f>SUM('Cellular responses to stimuli'!O3:O720)</f>
        <v>0</v>
      </c>
      <c r="P14">
        <f>SUM('Cellular responses to stimuli'!P3:P720)</f>
        <v>0</v>
      </c>
      <c r="Q14">
        <f>SUM('Cellular responses to stimuli'!Q3:Q720)</f>
        <v>0</v>
      </c>
      <c r="R14">
        <f>SUM('Cellular responses to stimuli'!R3:R720)</f>
        <v>0</v>
      </c>
      <c r="S14">
        <f>SUM('Cellular responses to stimuli'!S3:S720)</f>
        <v>2</v>
      </c>
      <c r="T14">
        <f>SUM('Cellular responses to stimuli'!T3:T720)</f>
        <v>0</v>
      </c>
      <c r="U14">
        <f>SUM('Cellular responses to stimuli'!U3:U720)</f>
        <v>0</v>
      </c>
      <c r="V14">
        <f>SUM('Cellular responses to stimuli'!V3:V720)</f>
        <v>0</v>
      </c>
      <c r="W14">
        <f>SUM('Cellular responses to stimuli'!W3:W720)</f>
        <v>0</v>
      </c>
      <c r="X14">
        <f>SUM('Cellular responses to stimuli'!X3:X720)</f>
        <v>0</v>
      </c>
      <c r="Y14">
        <f>SUM('Cellular responses to stimuli'!Y3:Y720)</f>
        <v>0</v>
      </c>
      <c r="Z14">
        <f>SUM('Cellular responses to stimuli'!Z3:Z720)</f>
        <v>0</v>
      </c>
      <c r="AA14">
        <f>SUM('Cellular responses to stimuli'!AA3:AA720)</f>
        <v>0</v>
      </c>
      <c r="AB14">
        <f>SUM('Cellular responses to stimuli'!AB3:AB720)</f>
        <v>0</v>
      </c>
      <c r="AC14">
        <f>SUM('Cellular responses to stimuli'!AC3:AC720)</f>
        <v>0</v>
      </c>
      <c r="AD14">
        <f>SUM('Cellular responses to stimuli'!AD3:AD720)</f>
        <v>0</v>
      </c>
      <c r="AE14">
        <f>SUM('Cellular responses to stimuli'!AE3:AE720)</f>
        <v>0</v>
      </c>
      <c r="AF14">
        <f>SUM('Cellular responses to stimuli'!AF3:AF720)</f>
        <v>0</v>
      </c>
      <c r="AG14">
        <f>SUM('Cellular responses to stimuli'!AG3:AG720)</f>
        <v>0</v>
      </c>
      <c r="AH14">
        <f>SUM('Cellular responses to stimuli'!AH3:AH720)</f>
        <v>0</v>
      </c>
      <c r="AI14">
        <f>SUM('Cellular responses to stimuli'!AI3:AI720)</f>
        <v>0</v>
      </c>
    </row>
    <row r="15" spans="1:35" x14ac:dyDescent="0.35">
      <c r="A15" s="4" t="s">
        <v>13</v>
      </c>
      <c r="B15">
        <f>SUM('Programmed Cell Death'!B3:B721)</f>
        <v>41</v>
      </c>
      <c r="C15">
        <f>SUM('Programmed Cell Death'!C3:C721)</f>
        <v>0</v>
      </c>
      <c r="D15">
        <f>SUM('Programmed Cell Death'!D3:D721)</f>
        <v>0</v>
      </c>
      <c r="E15">
        <f>SUM('Programmed Cell Death'!E3:E721)</f>
        <v>1</v>
      </c>
      <c r="F15">
        <f>SUM('Programmed Cell Death'!F3:F721)</f>
        <v>0</v>
      </c>
      <c r="G15">
        <f>SUM('Programmed Cell Death'!G3:G721)</f>
        <v>0</v>
      </c>
      <c r="H15">
        <f>SUM('Programmed Cell Death'!H3:H721)</f>
        <v>0</v>
      </c>
      <c r="I15">
        <f>SUM('Programmed Cell Death'!I3:I721)</f>
        <v>0</v>
      </c>
      <c r="J15">
        <f>SUM('Programmed Cell Death'!J3:J721)</f>
        <v>0</v>
      </c>
      <c r="K15">
        <f>SUM('Programmed Cell Death'!K3:K721)</f>
        <v>0</v>
      </c>
      <c r="L15">
        <f>SUM('Programmed Cell Death'!L3:L721)</f>
        <v>1</v>
      </c>
      <c r="M15">
        <f>SUM('Programmed Cell Death'!M3:M721)</f>
        <v>0</v>
      </c>
      <c r="N15">
        <f>SUM('Programmed Cell Death'!N3:N721)</f>
        <v>0</v>
      </c>
      <c r="O15">
        <f>SUM('Programmed Cell Death'!O3:O721)</f>
        <v>0</v>
      </c>
      <c r="P15">
        <f>SUM('Programmed Cell Death'!P3:P721)</f>
        <v>0</v>
      </c>
      <c r="Q15">
        <f>SUM('Programmed Cell Death'!Q3:Q721)</f>
        <v>0</v>
      </c>
      <c r="R15">
        <f>SUM('Programmed Cell Death'!R3:R721)</f>
        <v>0</v>
      </c>
      <c r="S15">
        <f>SUM('Programmed Cell Death'!S3:S721)</f>
        <v>0</v>
      </c>
      <c r="T15">
        <f>SUM('Programmed Cell Death'!T3:T721)</f>
        <v>0</v>
      </c>
      <c r="U15">
        <f>SUM('Programmed Cell Death'!U3:U721)</f>
        <v>0</v>
      </c>
      <c r="V15">
        <f>SUM('Programmed Cell Death'!V3:V721)</f>
        <v>0</v>
      </c>
      <c r="W15">
        <f>SUM('Programmed Cell Death'!W3:W721)</f>
        <v>0</v>
      </c>
      <c r="X15">
        <f>SUM('Programmed Cell Death'!X3:X721)</f>
        <v>0</v>
      </c>
      <c r="Y15">
        <f>SUM('Programmed Cell Death'!Y3:Y721)</f>
        <v>0</v>
      </c>
      <c r="Z15">
        <f>SUM('Programmed Cell Death'!Z3:Z721)</f>
        <v>0</v>
      </c>
      <c r="AA15">
        <f>SUM('Programmed Cell Death'!AA3:AA721)</f>
        <v>5</v>
      </c>
      <c r="AB15">
        <f>SUM('Programmed Cell Death'!AB3:AB721)</f>
        <v>0</v>
      </c>
      <c r="AC15">
        <f>SUM('Programmed Cell Death'!AC3:AC721)</f>
        <v>0</v>
      </c>
      <c r="AD15">
        <f>SUM('Programmed Cell Death'!AD3:AD721)</f>
        <v>0</v>
      </c>
      <c r="AE15">
        <f>SUM('Programmed Cell Death'!AE3:AE721)</f>
        <v>0</v>
      </c>
      <c r="AF15">
        <f>SUM('Programmed Cell Death'!AF3:AF721)</f>
        <v>0</v>
      </c>
      <c r="AG15">
        <f>SUM('Programmed Cell Death'!AG3:AG721)</f>
        <v>0</v>
      </c>
      <c r="AH15">
        <f>SUM('Programmed Cell Death'!AH3:AH721)</f>
        <v>0</v>
      </c>
      <c r="AI15">
        <f>SUM('Programmed Cell Death'!AI3:AI721)</f>
        <v>0</v>
      </c>
    </row>
    <row r="16" spans="1:35" x14ac:dyDescent="0.35">
      <c r="A16" s="4" t="s">
        <v>14</v>
      </c>
      <c r="B16">
        <f>SUM(Hemostasis!B3:B722)</f>
        <v>0</v>
      </c>
      <c r="C16">
        <f>SUM(Hemostasis!C3:C722)</f>
        <v>0</v>
      </c>
      <c r="D16">
        <f>SUM(Hemostasis!D3:D722)</f>
        <v>0</v>
      </c>
      <c r="E16">
        <f>SUM(Hemostasis!E3:E722)</f>
        <v>0</v>
      </c>
      <c r="F16">
        <f>SUM(Hemostasis!F3:F722)</f>
        <v>0</v>
      </c>
      <c r="G16">
        <f>SUM(Hemostasis!G3:G722)</f>
        <v>0</v>
      </c>
      <c r="H16">
        <f>SUM(Hemostasis!H3:H722)</f>
        <v>0</v>
      </c>
      <c r="I16">
        <f>SUM(Hemostasis!I3:I722)</f>
        <v>0</v>
      </c>
      <c r="J16">
        <f>SUM(Hemostasis!J3:J722)</f>
        <v>0</v>
      </c>
      <c r="K16">
        <f>SUM(Hemostasis!K3:K722)</f>
        <v>0</v>
      </c>
      <c r="L16">
        <f>SUM(Hemostasis!L3:L722)</f>
        <v>0</v>
      </c>
      <c r="M16">
        <f>SUM(Hemostasis!M3:M722)</f>
        <v>0</v>
      </c>
      <c r="N16">
        <f>SUM(Hemostasis!N3:N722)</f>
        <v>0</v>
      </c>
      <c r="O16">
        <f>SUM(Hemostasis!O3:O722)</f>
        <v>0</v>
      </c>
      <c r="P16">
        <f>SUM(Hemostasis!P3:P722)</f>
        <v>0</v>
      </c>
      <c r="Q16">
        <f>SUM(Hemostasis!Q3:Q722)</f>
        <v>0</v>
      </c>
      <c r="R16">
        <f>SUM(Hemostasis!R3:R722)</f>
        <v>0</v>
      </c>
      <c r="S16">
        <f>SUM(Hemostasis!S3:S722)</f>
        <v>0</v>
      </c>
      <c r="T16">
        <f>SUM(Hemostasis!T3:T722)</f>
        <v>0</v>
      </c>
      <c r="U16">
        <f>SUM(Hemostasis!U3:U722)</f>
        <v>39</v>
      </c>
      <c r="V16">
        <f>SUM(Hemostasis!V3:V722)</f>
        <v>0</v>
      </c>
      <c r="W16">
        <f>SUM(Hemostasis!W3:W722)</f>
        <v>0</v>
      </c>
      <c r="X16">
        <f>SUM(Hemostasis!X3:X722)</f>
        <v>0</v>
      </c>
      <c r="Y16">
        <f>SUM(Hemostasis!Y3:Y722)</f>
        <v>4</v>
      </c>
      <c r="Z16">
        <f>SUM(Hemostasis!Z3:Z722)</f>
        <v>0</v>
      </c>
      <c r="AA16">
        <f>SUM(Hemostasis!AA3:AA722)</f>
        <v>0</v>
      </c>
      <c r="AB16">
        <f>SUM(Hemostasis!AB3:AB722)</f>
        <v>0</v>
      </c>
      <c r="AC16">
        <f>SUM(Hemostasis!AC3:AC722)</f>
        <v>0</v>
      </c>
      <c r="AD16">
        <f>SUM(Hemostasis!AD3:AD722)</f>
        <v>0</v>
      </c>
      <c r="AE16">
        <f>SUM(Hemostasis!AE3:AE722)</f>
        <v>39</v>
      </c>
      <c r="AF16">
        <f>SUM(Hemostasis!AF3:AF722)</f>
        <v>0</v>
      </c>
      <c r="AG16">
        <f>SUM(Hemostasis!AG3:AG722)</f>
        <v>0</v>
      </c>
      <c r="AH16">
        <f>SUM(Hemostasis!AH3:AH722)</f>
        <v>0</v>
      </c>
      <c r="AI16">
        <f>SUM(Hemostasis!AI3:AI722)</f>
        <v>0</v>
      </c>
    </row>
    <row r="17" spans="1:35" ht="29" x14ac:dyDescent="0.35">
      <c r="A17" s="4" t="s">
        <v>15</v>
      </c>
      <c r="B17">
        <f>SUM('Vesicle-mediated transport'!B3:B723)</f>
        <v>0</v>
      </c>
      <c r="C17">
        <f>SUM('Vesicle-mediated transport'!C3:C723)</f>
        <v>6</v>
      </c>
      <c r="D17">
        <f>SUM('Vesicle-mediated transport'!D3:D723)</f>
        <v>0</v>
      </c>
      <c r="E17">
        <f>SUM('Vesicle-mediated transport'!E3:E723)</f>
        <v>0</v>
      </c>
      <c r="F17">
        <f>SUM('Vesicle-mediated transport'!F3:F723)</f>
        <v>0</v>
      </c>
      <c r="G17">
        <f>SUM('Vesicle-mediated transport'!G3:G723)</f>
        <v>0</v>
      </c>
      <c r="H17">
        <f>SUM('Vesicle-mediated transport'!H3:H723)</f>
        <v>0</v>
      </c>
      <c r="I17">
        <f>SUM('Vesicle-mediated transport'!I3:I723)</f>
        <v>0</v>
      </c>
      <c r="J17">
        <f>SUM('Vesicle-mediated transport'!J3:J723)</f>
        <v>0</v>
      </c>
      <c r="K17">
        <f>SUM('Vesicle-mediated transport'!K3:K723)</f>
        <v>0</v>
      </c>
      <c r="L17">
        <f>SUM('Vesicle-mediated transport'!L3:L723)</f>
        <v>0</v>
      </c>
      <c r="M17">
        <f>SUM('Vesicle-mediated transport'!M3:M723)</f>
        <v>0</v>
      </c>
      <c r="N17">
        <f>SUM('Vesicle-mediated transport'!N3:N723)</f>
        <v>0</v>
      </c>
      <c r="O17">
        <f>SUM('Vesicle-mediated transport'!O3:O723)</f>
        <v>4</v>
      </c>
      <c r="P17">
        <f>SUM('Vesicle-mediated transport'!P3:P723)</f>
        <v>38</v>
      </c>
      <c r="Q17">
        <f>SUM('Vesicle-mediated transport'!Q3:Q723)</f>
        <v>0</v>
      </c>
      <c r="R17">
        <f>SUM('Vesicle-mediated transport'!R3:R723)</f>
        <v>0</v>
      </c>
      <c r="S17">
        <f>SUM('Vesicle-mediated transport'!S3:S723)</f>
        <v>0</v>
      </c>
      <c r="T17">
        <f>SUM('Vesicle-mediated transport'!T3:T723)</f>
        <v>0</v>
      </c>
      <c r="U17">
        <f>SUM('Vesicle-mediated transport'!U3:U723)</f>
        <v>0</v>
      </c>
      <c r="V17">
        <f>SUM('Vesicle-mediated transport'!V3:V723)</f>
        <v>0</v>
      </c>
      <c r="W17">
        <f>SUM('Vesicle-mediated transport'!W3:W723)</f>
        <v>0</v>
      </c>
      <c r="X17">
        <f>SUM('Vesicle-mediated transport'!X3:X723)</f>
        <v>0</v>
      </c>
      <c r="Y17">
        <f>SUM('Vesicle-mediated transport'!Y3:Y723)</f>
        <v>0</v>
      </c>
      <c r="Z17">
        <f>SUM('Vesicle-mediated transport'!Z3:Z723)</f>
        <v>0</v>
      </c>
      <c r="AA17">
        <f>SUM('Vesicle-mediated transport'!AA3:AA723)</f>
        <v>0</v>
      </c>
      <c r="AB17">
        <f>SUM('Vesicle-mediated transport'!AB3:AB723)</f>
        <v>0</v>
      </c>
      <c r="AC17">
        <f>SUM('Vesicle-mediated transport'!AC3:AC723)</f>
        <v>0</v>
      </c>
      <c r="AD17">
        <f>SUM('Vesicle-mediated transport'!AD3:AD723)</f>
        <v>0</v>
      </c>
      <c r="AE17">
        <f>SUM('Vesicle-mediated transport'!AE3:AE723)</f>
        <v>0</v>
      </c>
      <c r="AF17">
        <f>SUM('Vesicle-mediated transport'!AF3:AF723)</f>
        <v>0</v>
      </c>
      <c r="AG17">
        <f>SUM('Vesicle-mediated transport'!AG3:AG723)</f>
        <v>0</v>
      </c>
      <c r="AH17">
        <f>SUM('Vesicle-mediated transport'!AH3:AH723)</f>
        <v>0</v>
      </c>
      <c r="AI17">
        <f>SUM('Vesicle-mediated transport'!AI3:AI723)</f>
        <v>0</v>
      </c>
    </row>
    <row r="18" spans="1:35" x14ac:dyDescent="0.35">
      <c r="A18" s="4" t="s">
        <v>16</v>
      </c>
      <c r="B18">
        <f>SUM('Metabolism of RNA'!B3:B724)</f>
        <v>0</v>
      </c>
      <c r="C18">
        <f>SUM('Metabolism of RNA'!C3:C724)</f>
        <v>0</v>
      </c>
      <c r="D18">
        <f>SUM('Metabolism of RNA'!D3:D724)</f>
        <v>0</v>
      </c>
      <c r="E18">
        <f>SUM('Metabolism of RNA'!E3:E724)</f>
        <v>0</v>
      </c>
      <c r="F18">
        <f>SUM('Metabolism of RNA'!F3:F724)</f>
        <v>2</v>
      </c>
      <c r="G18">
        <f>SUM('Metabolism of RNA'!G3:G724)</f>
        <v>0</v>
      </c>
      <c r="H18">
        <f>SUM('Metabolism of RNA'!H3:H724)</f>
        <v>6</v>
      </c>
      <c r="I18">
        <f>SUM('Metabolism of RNA'!I3:I724)</f>
        <v>0</v>
      </c>
      <c r="J18">
        <f>SUM('Metabolism of RNA'!J3:J724)</f>
        <v>0</v>
      </c>
      <c r="K18">
        <f>SUM('Metabolism of RNA'!K3:K724)</f>
        <v>0</v>
      </c>
      <c r="L18">
        <f>SUM('Metabolism of RNA'!L3:L724)</f>
        <v>0</v>
      </c>
      <c r="M18">
        <f>SUM('Metabolism of RNA'!M3:M724)</f>
        <v>0</v>
      </c>
      <c r="N18">
        <f>SUM('Metabolism of RNA'!N3:N724)</f>
        <v>0</v>
      </c>
      <c r="O18">
        <f>SUM('Metabolism of RNA'!O3:O724)</f>
        <v>0</v>
      </c>
      <c r="P18">
        <f>SUM('Metabolism of RNA'!P3:P724)</f>
        <v>0</v>
      </c>
      <c r="Q18">
        <f>SUM('Metabolism of RNA'!Q3:Q724)</f>
        <v>0</v>
      </c>
      <c r="R18">
        <f>SUM('Metabolism of RNA'!R3:R724)</f>
        <v>0</v>
      </c>
      <c r="S18">
        <f>SUM('Metabolism of RNA'!S3:S724)</f>
        <v>0</v>
      </c>
      <c r="T18">
        <f>SUM('Metabolism of RNA'!T3:T724)</f>
        <v>0</v>
      </c>
      <c r="U18">
        <f>SUM('Metabolism of RNA'!U3:U724)</f>
        <v>0</v>
      </c>
      <c r="V18">
        <f>SUM('Metabolism of RNA'!V3:V724)</f>
        <v>0</v>
      </c>
      <c r="W18">
        <f>SUM('Metabolism of RNA'!W3:W724)</f>
        <v>0</v>
      </c>
      <c r="X18">
        <f>SUM('Metabolism of RNA'!X3:X724)</f>
        <v>0</v>
      </c>
      <c r="Y18">
        <f>SUM('Metabolism of RNA'!Y3:Y724)</f>
        <v>0</v>
      </c>
      <c r="Z18">
        <f>SUM('Metabolism of RNA'!Z3:Z724)</f>
        <v>0</v>
      </c>
      <c r="AA18">
        <f>SUM('Metabolism of RNA'!AA3:AA724)</f>
        <v>0</v>
      </c>
      <c r="AB18">
        <f>SUM('Metabolism of RNA'!AB3:AB724)</f>
        <v>0</v>
      </c>
      <c r="AC18">
        <f>SUM('Metabolism of RNA'!AC3:AC724)</f>
        <v>0</v>
      </c>
      <c r="AD18">
        <f>SUM('Metabolism of RNA'!AD3:AD724)</f>
        <v>0</v>
      </c>
      <c r="AE18">
        <f>SUM('Metabolism of RNA'!AE3:AE724)</f>
        <v>0</v>
      </c>
      <c r="AF18">
        <f>SUM('Metabolism of RNA'!AF3:AF724)</f>
        <v>0</v>
      </c>
      <c r="AG18">
        <f>SUM('Metabolism of RNA'!AG3:AG724)</f>
        <v>0</v>
      </c>
      <c r="AH18">
        <f>SUM('Metabolism of RNA'!AH3:AH724)</f>
        <v>0</v>
      </c>
      <c r="AI18">
        <f>SUM('Metabolism of RNA'!AI3:AI724)</f>
        <v>0</v>
      </c>
    </row>
    <row r="19" spans="1:35" x14ac:dyDescent="0.35">
      <c r="A19" s="4" t="s">
        <v>17</v>
      </c>
      <c r="B19">
        <f>SUM('DNA Replication'!B3:B725)</f>
        <v>18</v>
      </c>
      <c r="C19">
        <f>SUM('DNA Replication'!C3:C725)</f>
        <v>0</v>
      </c>
      <c r="D19">
        <f>SUM('DNA Replication'!D3:D725)</f>
        <v>0</v>
      </c>
      <c r="E19">
        <f>SUM('DNA Replication'!E3:E725)</f>
        <v>0</v>
      </c>
      <c r="F19">
        <f>SUM('DNA Replication'!F3:F725)</f>
        <v>0</v>
      </c>
      <c r="G19">
        <f>SUM('DNA Replication'!G3:G725)</f>
        <v>0</v>
      </c>
      <c r="H19">
        <f>SUM('DNA Replication'!H3:H725)</f>
        <v>0</v>
      </c>
      <c r="I19">
        <f>SUM('DNA Replication'!I3:I725)</f>
        <v>0</v>
      </c>
      <c r="J19">
        <f>SUM('DNA Replication'!J3:J725)</f>
        <v>0</v>
      </c>
      <c r="K19">
        <f>SUM('DNA Replication'!K3:K725)</f>
        <v>0</v>
      </c>
      <c r="L19">
        <f>SUM('DNA Replication'!L3:L725)</f>
        <v>0</v>
      </c>
      <c r="M19">
        <f>SUM('DNA Replication'!M3:M725)</f>
        <v>0</v>
      </c>
      <c r="N19">
        <f>SUM('DNA Replication'!N3:N725)</f>
        <v>0</v>
      </c>
      <c r="O19">
        <f>SUM('DNA Replication'!O3:O725)</f>
        <v>0</v>
      </c>
      <c r="P19">
        <f>SUM('DNA Replication'!P3:P725)</f>
        <v>0</v>
      </c>
      <c r="Q19">
        <f>SUM('DNA Replication'!Q3:Q725)</f>
        <v>0</v>
      </c>
      <c r="R19">
        <f>SUM('DNA Replication'!R3:R725)</f>
        <v>0</v>
      </c>
      <c r="S19">
        <f>SUM('DNA Replication'!S3:S725)</f>
        <v>0</v>
      </c>
      <c r="T19">
        <f>SUM('DNA Replication'!T3:T725)</f>
        <v>0</v>
      </c>
      <c r="U19">
        <f>SUM('DNA Replication'!U3:U725)</f>
        <v>0</v>
      </c>
      <c r="V19">
        <f>SUM('DNA Replication'!V3:V725)</f>
        <v>0</v>
      </c>
      <c r="W19">
        <f>SUM('DNA Replication'!W3:W725)</f>
        <v>0</v>
      </c>
      <c r="X19">
        <f>SUM('DNA Replication'!X3:X725)</f>
        <v>0</v>
      </c>
      <c r="Y19">
        <f>SUM('DNA Replication'!Y3:Y725)</f>
        <v>0</v>
      </c>
      <c r="Z19">
        <f>SUM('DNA Replication'!Z3:Z725)</f>
        <v>0</v>
      </c>
      <c r="AA19">
        <f>SUM('DNA Replication'!AA3:AA725)</f>
        <v>0</v>
      </c>
      <c r="AB19">
        <f>SUM('DNA Replication'!AB3:AB725)</f>
        <v>0</v>
      </c>
      <c r="AC19">
        <f>SUM('DNA Replication'!AC3:AC725)</f>
        <v>0</v>
      </c>
      <c r="AD19">
        <f>SUM('DNA Replication'!AD3:AD725)</f>
        <v>0</v>
      </c>
      <c r="AE19">
        <f>SUM('DNA Replication'!AE3:AE725)</f>
        <v>0</v>
      </c>
      <c r="AF19">
        <f>SUM('DNA Replication'!AF3:AF725)</f>
        <v>0</v>
      </c>
      <c r="AG19">
        <f>SUM('DNA Replication'!AG3:AG725)</f>
        <v>0</v>
      </c>
      <c r="AH19">
        <f>SUM('DNA Replication'!AH3:AH725)</f>
        <v>0</v>
      </c>
      <c r="AI19">
        <f>SUM('DNA Replication'!AI3:AI725)</f>
        <v>0</v>
      </c>
    </row>
    <row r="20" spans="1:35" x14ac:dyDescent="0.35">
      <c r="A20" s="4" t="s">
        <v>18</v>
      </c>
      <c r="B20">
        <f>SUM('Sensory Perception'!B3:B726)</f>
        <v>0</v>
      </c>
      <c r="C20">
        <f>SUM('Sensory Perception'!C3:C726)</f>
        <v>0</v>
      </c>
      <c r="D20">
        <f>SUM('Sensory Perception'!D3:D726)</f>
        <v>0</v>
      </c>
      <c r="E20">
        <f>SUM('Sensory Perception'!E3:E726)</f>
        <v>0</v>
      </c>
      <c r="F20">
        <f>SUM('Sensory Perception'!F3:F726)</f>
        <v>0</v>
      </c>
      <c r="G20">
        <f>SUM('Sensory Perception'!G3:G726)</f>
        <v>0</v>
      </c>
      <c r="H20">
        <f>SUM('Sensory Perception'!H3:H726)</f>
        <v>0</v>
      </c>
      <c r="I20">
        <f>SUM('Sensory Perception'!I3:I726)</f>
        <v>0</v>
      </c>
      <c r="J20">
        <f>SUM('Sensory Perception'!J3:J726)</f>
        <v>0</v>
      </c>
      <c r="K20">
        <f>SUM('Sensory Perception'!K3:K726)</f>
        <v>0</v>
      </c>
      <c r="L20">
        <f>SUM('Sensory Perception'!L3:L726)</f>
        <v>0</v>
      </c>
      <c r="M20">
        <f>SUM('Sensory Perception'!M3:M726)</f>
        <v>0</v>
      </c>
      <c r="N20">
        <f>SUM('Sensory Perception'!N3:N726)</f>
        <v>0</v>
      </c>
      <c r="O20">
        <f>SUM('Sensory Perception'!O3:O726)</f>
        <v>0</v>
      </c>
      <c r="P20">
        <f>SUM('Sensory Perception'!P3:P726)</f>
        <v>0</v>
      </c>
      <c r="Q20">
        <f>SUM('Sensory Perception'!Q3:Q726)</f>
        <v>0</v>
      </c>
      <c r="R20">
        <f>SUM('Sensory Perception'!R3:R726)</f>
        <v>0</v>
      </c>
      <c r="S20">
        <f>SUM('Sensory Perception'!S3:S726)</f>
        <v>0</v>
      </c>
      <c r="T20">
        <f>SUM('Sensory Perception'!T3:T726)</f>
        <v>0</v>
      </c>
      <c r="U20">
        <f>SUM('Sensory Perception'!U3:U726)</f>
        <v>0</v>
      </c>
      <c r="V20">
        <f>SUM('Sensory Perception'!V3:V726)</f>
        <v>0</v>
      </c>
      <c r="W20">
        <f>SUM('Sensory Perception'!W3:W726)</f>
        <v>0</v>
      </c>
      <c r="X20">
        <f>SUM('Sensory Perception'!X3:X726)</f>
        <v>0</v>
      </c>
      <c r="Y20">
        <f>SUM('Sensory Perception'!Y3:Y726)</f>
        <v>0</v>
      </c>
      <c r="Z20">
        <f>SUM('Sensory Perception'!Z3:Z726)</f>
        <v>0</v>
      </c>
      <c r="AA20">
        <f>SUM('Sensory Perception'!AA3:AA726)</f>
        <v>0</v>
      </c>
      <c r="AB20">
        <f>SUM('Sensory Perception'!AB3:AB726)</f>
        <v>0</v>
      </c>
      <c r="AC20">
        <f>SUM('Sensory Perception'!AC3:AC726)</f>
        <v>0</v>
      </c>
      <c r="AD20">
        <f>SUM('Sensory Perception'!AD3:AD726)</f>
        <v>0</v>
      </c>
      <c r="AE20">
        <f>SUM('Sensory Perception'!AE3:AE726)</f>
        <v>0</v>
      </c>
      <c r="AF20">
        <f>SUM('Sensory Perception'!AF3:AF726)</f>
        <v>0</v>
      </c>
      <c r="AG20">
        <f>SUM('Sensory Perception'!AG3:AG726)</f>
        <v>0</v>
      </c>
      <c r="AH20">
        <f>SUM('Sensory Perception'!AH3:AH726)</f>
        <v>0</v>
      </c>
      <c r="AI20">
        <f>SUM('Sensory Perception'!AI3:AI726)</f>
        <v>0</v>
      </c>
    </row>
    <row r="21" spans="1:35" ht="29" x14ac:dyDescent="0.35">
      <c r="A21" s="4" t="s">
        <v>19</v>
      </c>
      <c r="B21">
        <f>SUM('Extracellular matrix organizati'!B3:B727)</f>
        <v>0</v>
      </c>
      <c r="C21">
        <f>SUM('Extracellular matrix organizati'!C3:C727)</f>
        <v>0</v>
      </c>
      <c r="D21">
        <f>SUM('Extracellular matrix organizati'!D3:D727)</f>
        <v>0</v>
      </c>
      <c r="E21">
        <f>SUM('Extracellular matrix organizati'!E3:E727)</f>
        <v>0</v>
      </c>
      <c r="F21">
        <f>SUM('Extracellular matrix organizati'!F3:F727)</f>
        <v>0</v>
      </c>
      <c r="G21">
        <f>SUM('Extracellular matrix organizati'!G3:G727)</f>
        <v>0</v>
      </c>
      <c r="H21">
        <f>SUM('Extracellular matrix organizati'!H3:H727)</f>
        <v>0</v>
      </c>
      <c r="I21">
        <f>SUM('Extracellular matrix organizati'!I3:I727)</f>
        <v>0</v>
      </c>
      <c r="J21">
        <f>SUM('Extracellular matrix organizati'!J3:J727)</f>
        <v>0</v>
      </c>
      <c r="K21">
        <f>SUM('Extracellular matrix organizati'!K3:K727)</f>
        <v>6</v>
      </c>
      <c r="L21">
        <f>SUM('Extracellular matrix organizati'!L3:L727)</f>
        <v>0</v>
      </c>
      <c r="M21">
        <f>SUM('Extracellular matrix organizati'!M3:M727)</f>
        <v>0</v>
      </c>
      <c r="N21">
        <f>SUM('Extracellular matrix organizati'!N3:N727)</f>
        <v>0</v>
      </c>
      <c r="O21">
        <f>SUM('Extracellular matrix organizati'!O3:O727)</f>
        <v>0</v>
      </c>
      <c r="P21">
        <f>SUM('Extracellular matrix organizati'!P3:P727)</f>
        <v>0</v>
      </c>
      <c r="Q21">
        <f>SUM('Extracellular matrix organizati'!Q3:Q727)</f>
        <v>0</v>
      </c>
      <c r="R21">
        <f>SUM('Extracellular matrix organizati'!R3:R727)</f>
        <v>0</v>
      </c>
      <c r="S21">
        <f>SUM('Extracellular matrix organizati'!S3:S727)</f>
        <v>0</v>
      </c>
      <c r="T21">
        <f>SUM('Extracellular matrix organizati'!T3:T727)</f>
        <v>0</v>
      </c>
      <c r="U21">
        <f>SUM('Extracellular matrix organizati'!U3:U727)</f>
        <v>0</v>
      </c>
      <c r="V21">
        <f>SUM('Extracellular matrix organizati'!V3:V727)</f>
        <v>0</v>
      </c>
      <c r="W21">
        <f>SUM('Extracellular matrix organizati'!W3:W727)</f>
        <v>0</v>
      </c>
      <c r="X21">
        <f>SUM('Extracellular matrix organizati'!X3:X727)</f>
        <v>0</v>
      </c>
      <c r="Y21">
        <f>SUM('Extracellular matrix organizati'!Y3:Y727)</f>
        <v>0</v>
      </c>
      <c r="Z21">
        <f>SUM('Extracellular matrix organizati'!Z3:Z727)</f>
        <v>0</v>
      </c>
      <c r="AA21">
        <f>SUM('Extracellular matrix organizati'!AA3:AA727)</f>
        <v>0</v>
      </c>
      <c r="AB21">
        <f>SUM('Extracellular matrix organizati'!AB3:AB727)</f>
        <v>0</v>
      </c>
      <c r="AC21">
        <f>SUM('Extracellular matrix organizati'!AC3:AC727)</f>
        <v>0</v>
      </c>
      <c r="AD21">
        <f>SUM('Extracellular matrix organizati'!AD3:AD727)</f>
        <v>6</v>
      </c>
      <c r="AE21">
        <f>SUM('Extracellular matrix organizati'!AE3:AE727)</f>
        <v>0</v>
      </c>
      <c r="AF21">
        <f>SUM('Extracellular matrix organizati'!AF3:AF727)</f>
        <v>0</v>
      </c>
      <c r="AG21">
        <f>SUM('Extracellular matrix organizati'!AG3:AG727)</f>
        <v>0</v>
      </c>
      <c r="AH21">
        <f>SUM('Extracellular matrix organizati'!AH3:AH727)</f>
        <v>0</v>
      </c>
      <c r="AI21">
        <f>SUM('Extracellular matrix organizati'!AI3:AI727)</f>
        <v>0</v>
      </c>
    </row>
    <row r="22" spans="1:35" x14ac:dyDescent="0.35">
      <c r="A22" s="4" t="s">
        <v>20</v>
      </c>
      <c r="B22">
        <f>SUM('Cell-Cell communication'!B3:B728)</f>
        <v>0</v>
      </c>
      <c r="C22">
        <f>SUM('Cell-Cell communication'!C3:C728)</f>
        <v>0</v>
      </c>
      <c r="D22">
        <f>SUM('Cell-Cell communication'!D3:D728)</f>
        <v>0</v>
      </c>
      <c r="E22">
        <f>SUM('Cell-Cell communication'!E3:E728)</f>
        <v>0</v>
      </c>
      <c r="F22">
        <f>SUM('Cell-Cell communication'!F3:F728)</f>
        <v>0</v>
      </c>
      <c r="G22">
        <f>SUM('Cell-Cell communication'!G3:G728)</f>
        <v>0</v>
      </c>
      <c r="H22">
        <f>SUM('Cell-Cell communication'!H3:H728)</f>
        <v>0</v>
      </c>
      <c r="I22">
        <f>SUM('Cell-Cell communication'!I3:I728)</f>
        <v>0</v>
      </c>
      <c r="J22">
        <f>SUM('Cell-Cell communication'!J3:J728)</f>
        <v>0</v>
      </c>
      <c r="K22">
        <f>SUM('Cell-Cell communication'!K3:K728)</f>
        <v>21</v>
      </c>
      <c r="L22">
        <f>SUM('Cell-Cell communication'!L3:L728)</f>
        <v>2</v>
      </c>
      <c r="M22">
        <f>SUM('Cell-Cell communication'!M3:M728)</f>
        <v>0</v>
      </c>
      <c r="N22">
        <f>SUM('Cell-Cell communication'!N3:N728)</f>
        <v>0</v>
      </c>
      <c r="O22">
        <f>SUM('Cell-Cell communication'!O3:O728)</f>
        <v>0</v>
      </c>
      <c r="P22">
        <f>SUM('Cell-Cell communication'!P3:P728)</f>
        <v>0</v>
      </c>
      <c r="Q22">
        <f>SUM('Cell-Cell communication'!Q3:Q728)</f>
        <v>0</v>
      </c>
      <c r="R22">
        <f>SUM('Cell-Cell communication'!R3:R728)</f>
        <v>0</v>
      </c>
      <c r="S22">
        <f>SUM('Cell-Cell communication'!S3:S728)</f>
        <v>0</v>
      </c>
      <c r="T22">
        <f>SUM('Cell-Cell communication'!T3:T728)</f>
        <v>0</v>
      </c>
      <c r="U22">
        <f>SUM('Cell-Cell communication'!U3:U728)</f>
        <v>0</v>
      </c>
      <c r="V22">
        <f>SUM('Cell-Cell communication'!V3:V728)</f>
        <v>0</v>
      </c>
      <c r="W22">
        <f>SUM('Cell-Cell communication'!W3:W728)</f>
        <v>0</v>
      </c>
      <c r="X22">
        <f>SUM('Cell-Cell communication'!X3:X728)</f>
        <v>0</v>
      </c>
      <c r="Y22">
        <f>SUM('Cell-Cell communication'!Y3:Y728)</f>
        <v>0</v>
      </c>
      <c r="Z22">
        <f>SUM('Cell-Cell communication'!Z3:Z728)</f>
        <v>0</v>
      </c>
      <c r="AA22">
        <f>SUM('Cell-Cell communication'!AA3:AA728)</f>
        <v>0</v>
      </c>
      <c r="AB22">
        <f>SUM('Cell-Cell communication'!AB3:AB728)</f>
        <v>0</v>
      </c>
      <c r="AC22">
        <f>SUM('Cell-Cell communication'!AC3:AC728)</f>
        <v>0</v>
      </c>
      <c r="AD22">
        <f>SUM('Cell-Cell communication'!AD3:AD728)</f>
        <v>0</v>
      </c>
      <c r="AE22">
        <f>SUM('Cell-Cell communication'!AE3:AE728)</f>
        <v>0</v>
      </c>
      <c r="AF22">
        <f>SUM('Cell-Cell communication'!AF3:AF728)</f>
        <v>0</v>
      </c>
      <c r="AG22">
        <f>SUM('Cell-Cell communication'!AG3:AG728)</f>
        <v>0</v>
      </c>
      <c r="AH22">
        <f>SUM('Cell-Cell communication'!AH3:AH728)</f>
        <v>0</v>
      </c>
      <c r="AI22">
        <f>SUM('Cell-Cell communication'!AI3:AI728)</f>
        <v>0</v>
      </c>
    </row>
    <row r="23" spans="1:35" ht="29" x14ac:dyDescent="0.35">
      <c r="A23" s="4" t="s">
        <v>21</v>
      </c>
      <c r="B23">
        <f>SUM('Organelle biogenesis and mainte'!B3:B729)</f>
        <v>0</v>
      </c>
      <c r="C23">
        <f>SUM('Organelle biogenesis and mainte'!C3:C729)</f>
        <v>0</v>
      </c>
      <c r="D23">
        <f>SUM('Organelle biogenesis and mainte'!D3:D729)</f>
        <v>0</v>
      </c>
      <c r="E23">
        <f>SUM('Organelle biogenesis and mainte'!E3:E729)</f>
        <v>0</v>
      </c>
      <c r="F23">
        <f>SUM('Organelle biogenesis and mainte'!F3:F729)</f>
        <v>0</v>
      </c>
      <c r="G23">
        <f>SUM('Organelle biogenesis and mainte'!G3:G729)</f>
        <v>0</v>
      </c>
      <c r="H23">
        <f>SUM('Organelle biogenesis and mainte'!H3:H729)</f>
        <v>5</v>
      </c>
      <c r="I23">
        <f>SUM('Organelle biogenesis and mainte'!I3:I729)</f>
        <v>0</v>
      </c>
      <c r="J23">
        <f>SUM('Organelle biogenesis and mainte'!J3:J729)</f>
        <v>0</v>
      </c>
      <c r="K23">
        <f>SUM('Organelle biogenesis and mainte'!K3:K729)</f>
        <v>0</v>
      </c>
      <c r="L23">
        <f>SUM('Organelle biogenesis and mainte'!L3:L729)</f>
        <v>0</v>
      </c>
      <c r="M23">
        <f>SUM('Organelle biogenesis and mainte'!M3:M729)</f>
        <v>0</v>
      </c>
      <c r="N23">
        <f>SUM('Organelle biogenesis and mainte'!N3:N729)</f>
        <v>0</v>
      </c>
      <c r="O23">
        <f>SUM('Organelle biogenesis and mainte'!O3:O729)</f>
        <v>0</v>
      </c>
      <c r="P23">
        <f>SUM('Organelle biogenesis and mainte'!P3:P729)</f>
        <v>0</v>
      </c>
      <c r="Q23">
        <f>SUM('Organelle biogenesis and mainte'!Q3:Q729)</f>
        <v>0</v>
      </c>
      <c r="R23">
        <f>SUM('Organelle biogenesis and mainte'!R3:R729)</f>
        <v>0</v>
      </c>
      <c r="S23">
        <f>SUM('Organelle biogenesis and mainte'!S3:S729)</f>
        <v>0</v>
      </c>
      <c r="T23">
        <f>SUM('Organelle biogenesis and mainte'!T3:T729)</f>
        <v>0</v>
      </c>
      <c r="U23">
        <f>SUM('Organelle biogenesis and mainte'!U3:U729)</f>
        <v>0</v>
      </c>
      <c r="V23">
        <f>SUM('Organelle biogenesis and mainte'!V3:V729)</f>
        <v>0</v>
      </c>
      <c r="W23">
        <f>SUM('Organelle biogenesis and mainte'!W3:W729)</f>
        <v>0</v>
      </c>
      <c r="X23">
        <f>SUM('Organelle biogenesis and mainte'!X3:X729)</f>
        <v>0</v>
      </c>
      <c r="Y23">
        <f>SUM('Organelle biogenesis and mainte'!Y3:Y729)</f>
        <v>0</v>
      </c>
      <c r="Z23">
        <f>SUM('Organelle biogenesis and mainte'!Z3:Z729)</f>
        <v>0</v>
      </c>
      <c r="AA23">
        <f>SUM('Organelle biogenesis and mainte'!AA3:AA729)</f>
        <v>0</v>
      </c>
      <c r="AB23">
        <f>SUM('Organelle biogenesis and mainte'!AB3:AB729)</f>
        <v>0</v>
      </c>
      <c r="AC23">
        <f>SUM('Organelle biogenesis and mainte'!AC3:AC729)</f>
        <v>0</v>
      </c>
      <c r="AD23">
        <f>SUM('Organelle biogenesis and mainte'!AD3:AD729)</f>
        <v>0</v>
      </c>
      <c r="AE23">
        <f>SUM('Organelle biogenesis and mainte'!AE3:AE729)</f>
        <v>0</v>
      </c>
      <c r="AF23">
        <f>SUM('Organelle biogenesis and mainte'!AF3:AF729)</f>
        <v>0</v>
      </c>
      <c r="AG23">
        <f>SUM('Organelle biogenesis and mainte'!AG3:AG729)</f>
        <v>0</v>
      </c>
      <c r="AH23">
        <f>SUM('Organelle biogenesis and mainte'!AH3:AH729)</f>
        <v>0</v>
      </c>
      <c r="AI23">
        <f>SUM('Organelle biogenesis and mainte'!AI3:AI729)</f>
        <v>0</v>
      </c>
    </row>
    <row r="24" spans="1:35" x14ac:dyDescent="0.35">
      <c r="A24" s="4" t="s">
        <v>22</v>
      </c>
      <c r="B24">
        <f>SUM(Autophagy!B3:B730)</f>
        <v>11</v>
      </c>
      <c r="C24">
        <f>SUM(Autophagy!C3:C730)</f>
        <v>0</v>
      </c>
      <c r="D24">
        <f>SUM(Autophagy!D3:D730)</f>
        <v>1</v>
      </c>
      <c r="E24">
        <f>SUM(Autophagy!E3:E730)</f>
        <v>0</v>
      </c>
      <c r="F24">
        <f>SUM(Autophagy!F3:F730)</f>
        <v>0</v>
      </c>
      <c r="G24">
        <f>SUM(Autophagy!G3:G730)</f>
        <v>0</v>
      </c>
      <c r="H24">
        <f>SUM(Autophagy!H3:H730)</f>
        <v>3</v>
      </c>
      <c r="I24">
        <f>SUM(Autophagy!I3:I730)</f>
        <v>0</v>
      </c>
      <c r="J24">
        <f>SUM(Autophagy!J3:J730)</f>
        <v>0</v>
      </c>
      <c r="K24">
        <f>SUM(Autophagy!K3:K730)</f>
        <v>0</v>
      </c>
      <c r="L24">
        <f>SUM(Autophagy!L3:L730)</f>
        <v>0</v>
      </c>
      <c r="M24">
        <f>SUM(Autophagy!M3:M730)</f>
        <v>0</v>
      </c>
      <c r="N24">
        <f>SUM(Autophagy!N3:N730)</f>
        <v>0</v>
      </c>
      <c r="O24">
        <f>SUM(Autophagy!O3:O730)</f>
        <v>1</v>
      </c>
      <c r="P24">
        <f>SUM(Autophagy!P3:P730)</f>
        <v>0</v>
      </c>
      <c r="Q24">
        <f>SUM(Autophagy!Q3:Q730)</f>
        <v>0</v>
      </c>
      <c r="R24">
        <f>SUM(Autophagy!R3:R730)</f>
        <v>0</v>
      </c>
      <c r="S24">
        <f>SUM(Autophagy!S3:S730)</f>
        <v>0</v>
      </c>
      <c r="T24">
        <f>SUM(Autophagy!T3:T730)</f>
        <v>0</v>
      </c>
      <c r="U24">
        <f>SUM(Autophagy!U3:U730)</f>
        <v>0</v>
      </c>
      <c r="V24">
        <f>SUM(Autophagy!V3:V730)</f>
        <v>0</v>
      </c>
      <c r="W24">
        <f>SUM(Autophagy!W3:W730)</f>
        <v>0</v>
      </c>
      <c r="X24">
        <f>SUM(Autophagy!X3:X730)</f>
        <v>0</v>
      </c>
      <c r="Y24">
        <f>SUM(Autophagy!Y3:Y730)</f>
        <v>0</v>
      </c>
      <c r="Z24">
        <f>SUM(Autophagy!Z3:Z730)</f>
        <v>0</v>
      </c>
      <c r="AA24">
        <f>SUM(Autophagy!AA3:AA730)</f>
        <v>0</v>
      </c>
      <c r="AB24">
        <f>SUM(Autophagy!AB3:AB730)</f>
        <v>0</v>
      </c>
      <c r="AC24">
        <f>SUM(Autophagy!AC3:AC730)</f>
        <v>0</v>
      </c>
      <c r="AD24">
        <f>SUM(Autophagy!AD3:AD730)</f>
        <v>0</v>
      </c>
      <c r="AE24">
        <f>SUM(Autophagy!AE3:AE730)</f>
        <v>0</v>
      </c>
      <c r="AF24">
        <f>SUM(Autophagy!AF3:AF730)</f>
        <v>0</v>
      </c>
      <c r="AG24">
        <f>SUM(Autophagy!AG3:AG730)</f>
        <v>0</v>
      </c>
      <c r="AH24">
        <f>SUM(Autophagy!AH3:AH730)</f>
        <v>0</v>
      </c>
      <c r="AI24">
        <f>SUM(Autophagy!AI3:AI730)</f>
        <v>0</v>
      </c>
    </row>
    <row r="25" spans="1:35" x14ac:dyDescent="0.35">
      <c r="A25" s="4" t="s">
        <v>51</v>
      </c>
      <c r="B25">
        <f>SUM('Drug ADME'!B3:B720)</f>
        <v>0</v>
      </c>
      <c r="C25">
        <f>SUM('Drug ADME'!C3:C720)</f>
        <v>0</v>
      </c>
      <c r="D25">
        <f>SUM('Drug ADME'!D3:D720)</f>
        <v>0</v>
      </c>
      <c r="E25">
        <f>SUM('Drug ADME'!E3:E720)</f>
        <v>0</v>
      </c>
      <c r="F25">
        <f>SUM('Drug ADME'!F3:F720)</f>
        <v>0</v>
      </c>
      <c r="G25">
        <f>SUM('Drug ADME'!G3:G720)</f>
        <v>0</v>
      </c>
      <c r="H25">
        <f>SUM('Drug ADME'!H3:H720)</f>
        <v>0</v>
      </c>
      <c r="I25">
        <f>SUM('Drug ADME'!I3:I720)</f>
        <v>0</v>
      </c>
      <c r="J25">
        <f>SUM('Drug ADME'!J3:J720)</f>
        <v>1</v>
      </c>
      <c r="K25">
        <f>SUM('Drug ADME'!K3:K720)</f>
        <v>0</v>
      </c>
      <c r="L25">
        <f>SUM('Drug ADME'!L3:L720)</f>
        <v>0</v>
      </c>
      <c r="M25">
        <f>SUM('Drug ADME'!M3:M720)</f>
        <v>0</v>
      </c>
      <c r="N25">
        <f>SUM('Drug ADME'!N3:N720)</f>
        <v>0</v>
      </c>
      <c r="O25">
        <f>SUM('Drug ADME'!O3:O720)</f>
        <v>0</v>
      </c>
      <c r="P25">
        <f>SUM('Drug ADME'!P3:P720)</f>
        <v>0</v>
      </c>
      <c r="Q25">
        <f>SUM('Drug ADME'!Q3:Q720)</f>
        <v>0</v>
      </c>
      <c r="R25">
        <f>SUM('Drug ADME'!R3:R720)</f>
        <v>0</v>
      </c>
      <c r="S25">
        <f>SUM('Drug ADME'!S3:S720)</f>
        <v>0</v>
      </c>
      <c r="T25">
        <f>SUM('Drug ADME'!T3:T720)</f>
        <v>0</v>
      </c>
      <c r="U25">
        <f>SUM('Drug ADME'!U3:U720)</f>
        <v>0</v>
      </c>
      <c r="V25">
        <f>SUM('Drug ADME'!V3:V720)</f>
        <v>0</v>
      </c>
      <c r="W25">
        <f>SUM('Drug ADME'!W3:W720)</f>
        <v>0</v>
      </c>
      <c r="X25">
        <f>SUM('Drug ADME'!X3:X720)</f>
        <v>0</v>
      </c>
      <c r="Y25">
        <f>SUM('Drug ADME'!Y3:Y720)</f>
        <v>0</v>
      </c>
      <c r="Z25">
        <f>SUM('Drug ADME'!Z3:Z720)</f>
        <v>0</v>
      </c>
      <c r="AA25">
        <f>SUM('Drug ADME'!AA3:AA720)</f>
        <v>0</v>
      </c>
      <c r="AB25">
        <f>SUM('Drug ADME'!AB3:AB720)</f>
        <v>0</v>
      </c>
      <c r="AC25">
        <f>SUM('Drug ADME'!AC3:AC720)</f>
        <v>0</v>
      </c>
      <c r="AD25">
        <f>SUM('Drug ADME'!AD3:AD720)</f>
        <v>0</v>
      </c>
      <c r="AE25">
        <f>SUM('Drug ADME'!AE3:AE720)</f>
        <v>0</v>
      </c>
      <c r="AF25">
        <f>SUM('Drug ADME'!AF3:AF720)</f>
        <v>0</v>
      </c>
      <c r="AG25">
        <f>SUM('Drug ADME'!AG3:AG720)</f>
        <v>0</v>
      </c>
      <c r="AH25">
        <f>SUM('Drug ADME'!AH3:AH720)</f>
        <v>0</v>
      </c>
      <c r="AI25">
        <f>SUM('Drug ADME'!AI3:AI720)</f>
        <v>0</v>
      </c>
    </row>
    <row r="26" spans="1:35" x14ac:dyDescent="0.35">
      <c r="A26" s="4" t="s">
        <v>24</v>
      </c>
      <c r="B26">
        <f>SUM('Muscle contraction'!B3:B721)</f>
        <v>0</v>
      </c>
      <c r="C26">
        <f>SUM('Muscle contraction'!C3:C721)</f>
        <v>0</v>
      </c>
      <c r="D26">
        <f>SUM('Muscle contraction'!D3:D721)</f>
        <v>0</v>
      </c>
      <c r="E26">
        <f>SUM('Muscle contraction'!E3:E721)</f>
        <v>0</v>
      </c>
      <c r="F26">
        <f>SUM('Muscle contraction'!F3:F721)</f>
        <v>0</v>
      </c>
      <c r="G26">
        <f>SUM('Muscle contraction'!G3:G721)</f>
        <v>0</v>
      </c>
      <c r="H26">
        <f>SUM('Muscle contraction'!H3:H721)</f>
        <v>0</v>
      </c>
      <c r="I26">
        <f>SUM('Muscle contraction'!I3:I721)</f>
        <v>0</v>
      </c>
      <c r="J26">
        <f>SUM('Muscle contraction'!J3:J721)</f>
        <v>0</v>
      </c>
      <c r="K26">
        <f>SUM('Muscle contraction'!K3:K721)</f>
        <v>0</v>
      </c>
      <c r="L26">
        <f>SUM('Muscle contraction'!L3:L721)</f>
        <v>0</v>
      </c>
      <c r="M26">
        <f>SUM('Muscle contraction'!M3:M721)</f>
        <v>0</v>
      </c>
      <c r="N26">
        <f>SUM('Muscle contraction'!N3:N721)</f>
        <v>0</v>
      </c>
      <c r="O26">
        <f>SUM('Muscle contraction'!O3:O721)</f>
        <v>0</v>
      </c>
      <c r="P26">
        <f>SUM('Muscle contraction'!P3:P721)</f>
        <v>0</v>
      </c>
      <c r="Q26">
        <f>SUM('Muscle contraction'!Q3:Q721)</f>
        <v>0</v>
      </c>
      <c r="R26">
        <f>SUM('Muscle contraction'!R3:R721)</f>
        <v>0</v>
      </c>
      <c r="S26">
        <f>SUM('Muscle contraction'!S3:S721)</f>
        <v>0</v>
      </c>
      <c r="T26">
        <f>SUM('Muscle contraction'!T3:T721)</f>
        <v>0</v>
      </c>
      <c r="U26">
        <f>SUM('Muscle contraction'!U3:U721)</f>
        <v>1</v>
      </c>
      <c r="V26">
        <f>SUM('Muscle contraction'!V3:V721)</f>
        <v>0</v>
      </c>
      <c r="W26">
        <f>SUM('Muscle contraction'!W3:W721)</f>
        <v>0</v>
      </c>
      <c r="X26">
        <f>SUM('Muscle contraction'!X3:X721)</f>
        <v>0</v>
      </c>
      <c r="Y26">
        <f>SUM('Muscle contraction'!Y3:Y721)</f>
        <v>0</v>
      </c>
      <c r="Z26">
        <f>SUM('Muscle contraction'!Z3:Z721)</f>
        <v>0</v>
      </c>
      <c r="AA26">
        <f>SUM('Muscle contraction'!AA3:AA721)</f>
        <v>0</v>
      </c>
      <c r="AB26">
        <f>SUM('Muscle contraction'!AB3:AB721)</f>
        <v>0</v>
      </c>
      <c r="AC26">
        <f>SUM('Muscle contraction'!AC3:AC721)</f>
        <v>0</v>
      </c>
      <c r="AD26">
        <f>SUM('Muscle contraction'!AD3:AD721)</f>
        <v>0</v>
      </c>
      <c r="AE26">
        <f>SUM('Muscle contraction'!AE3:AE721)</f>
        <v>0</v>
      </c>
      <c r="AF26">
        <f>SUM('Muscle contraction'!AF3:AF721)</f>
        <v>3</v>
      </c>
      <c r="AG26">
        <f>SUM('Muscle contraction'!AG3:AG721)</f>
        <v>8</v>
      </c>
      <c r="AH26">
        <f>SUM('Muscle contraction'!AH3:AH721)</f>
        <v>0</v>
      </c>
      <c r="AI26">
        <f>SUM('Muscle contraction'!AI3:AI721)</f>
        <v>0</v>
      </c>
    </row>
    <row r="27" spans="1:35" x14ac:dyDescent="0.35">
      <c r="A27" s="4" t="s">
        <v>25</v>
      </c>
      <c r="B27">
        <f>SUM(Reproduction!B3:B721)</f>
        <v>0</v>
      </c>
      <c r="C27">
        <f>SUM(Reproduction!C3:C721)</f>
        <v>0</v>
      </c>
      <c r="D27">
        <f>SUM(Reproduction!D3:D721)</f>
        <v>0</v>
      </c>
      <c r="E27">
        <f>SUM(Reproduction!E3:E721)</f>
        <v>0</v>
      </c>
      <c r="F27">
        <f>SUM(Reproduction!F3:F721)</f>
        <v>0</v>
      </c>
      <c r="G27">
        <f>SUM(Reproduction!G3:G721)</f>
        <v>0</v>
      </c>
      <c r="H27">
        <f>SUM(Reproduction!H3:H721)</f>
        <v>0</v>
      </c>
      <c r="I27">
        <f>SUM(Reproduction!I3:I721)</f>
        <v>0</v>
      </c>
      <c r="J27">
        <f>SUM(Reproduction!J3:J721)</f>
        <v>0</v>
      </c>
      <c r="K27">
        <f>SUM(Reproduction!K3:K721)</f>
        <v>2</v>
      </c>
      <c r="L27">
        <f>SUM(Reproduction!L3:L721)</f>
        <v>0</v>
      </c>
      <c r="M27">
        <f>SUM(Reproduction!M3:M721)</f>
        <v>0</v>
      </c>
      <c r="N27">
        <f>SUM(Reproduction!N3:N721)</f>
        <v>0</v>
      </c>
      <c r="O27">
        <f>SUM(Reproduction!O3:O721)</f>
        <v>0</v>
      </c>
      <c r="P27">
        <f>SUM(Reproduction!P3:P721)</f>
        <v>0</v>
      </c>
      <c r="Q27">
        <f>SUM(Reproduction!Q3:Q721)</f>
        <v>8</v>
      </c>
      <c r="R27">
        <f>SUM(Reproduction!R3:R721)</f>
        <v>0</v>
      </c>
      <c r="S27">
        <f>SUM(Reproduction!S3:S721)</f>
        <v>0</v>
      </c>
      <c r="T27">
        <f>SUM(Reproduction!T3:T721)</f>
        <v>0</v>
      </c>
      <c r="U27">
        <f>SUM(Reproduction!U3:U721)</f>
        <v>0</v>
      </c>
      <c r="V27">
        <f>SUM(Reproduction!V3:V721)</f>
        <v>0</v>
      </c>
      <c r="W27">
        <f>SUM(Reproduction!W3:W721)</f>
        <v>0</v>
      </c>
      <c r="X27">
        <f>SUM(Reproduction!X3:X721)</f>
        <v>0</v>
      </c>
      <c r="Y27">
        <f>SUM(Reproduction!Y3:Y721)</f>
        <v>0</v>
      </c>
      <c r="Z27">
        <f>SUM(Reproduction!Z3:Z721)</f>
        <v>0</v>
      </c>
      <c r="AA27">
        <f>SUM(Reproduction!AA3:AA721)</f>
        <v>0</v>
      </c>
      <c r="AB27">
        <f>SUM(Reproduction!AB3:AB721)</f>
        <v>0</v>
      </c>
      <c r="AC27">
        <f>SUM(Reproduction!AC3:AC721)</f>
        <v>0</v>
      </c>
      <c r="AD27">
        <f>SUM(Reproduction!AD3:AD721)</f>
        <v>0</v>
      </c>
      <c r="AE27">
        <f>SUM(Reproduction!AE3:AE721)</f>
        <v>0</v>
      </c>
      <c r="AF27">
        <f>SUM(Reproduction!AF3:AF721)</f>
        <v>0</v>
      </c>
      <c r="AG27">
        <f>SUM(Reproduction!AG3:AG721)</f>
        <v>0</v>
      </c>
      <c r="AH27">
        <f>SUM(Reproduction!AH3:AH721)</f>
        <v>0</v>
      </c>
      <c r="AI27">
        <f>SUM(Reproduction!AI3:AI721)</f>
        <v>0</v>
      </c>
    </row>
    <row r="28" spans="1:35" x14ac:dyDescent="0.35">
      <c r="A28" s="4" t="s">
        <v>26</v>
      </c>
      <c r="B28">
        <f>SUM('Chromatin organization'!B3:B716)</f>
        <v>0</v>
      </c>
      <c r="C28">
        <f>SUM('Chromatin organization'!C3:C716)</f>
        <v>0</v>
      </c>
      <c r="D28">
        <f>SUM('Chromatin organization'!D3:D716)</f>
        <v>0</v>
      </c>
      <c r="E28">
        <f>SUM('Chromatin organization'!E3:E716)</f>
        <v>0</v>
      </c>
      <c r="F28">
        <f>SUM('Chromatin organization'!F3:F716)</f>
        <v>6</v>
      </c>
      <c r="G28">
        <f>SUM('Chromatin organization'!G3:G716)</f>
        <v>0</v>
      </c>
      <c r="H28">
        <f>SUM('Chromatin organization'!H3:H716)</f>
        <v>0</v>
      </c>
      <c r="I28">
        <f>SUM('Chromatin organization'!I3:I716)</f>
        <v>0</v>
      </c>
      <c r="J28">
        <f>SUM('Chromatin organization'!J3:J716)</f>
        <v>0</v>
      </c>
      <c r="K28">
        <f>SUM('Chromatin organization'!K3:K716)</f>
        <v>0</v>
      </c>
      <c r="L28">
        <f>SUM('Chromatin organization'!L3:L716)</f>
        <v>0</v>
      </c>
      <c r="M28">
        <f>SUM('Chromatin organization'!M3:M716)</f>
        <v>0</v>
      </c>
      <c r="N28">
        <f>SUM('Chromatin organization'!N3:N716)</f>
        <v>0</v>
      </c>
      <c r="O28">
        <f>SUM('Chromatin organization'!O3:O716)</f>
        <v>0</v>
      </c>
      <c r="P28">
        <f>SUM('Chromatin organization'!P3:P716)</f>
        <v>0</v>
      </c>
      <c r="Q28">
        <f>SUM('Chromatin organization'!Q3:Q716)</f>
        <v>0</v>
      </c>
      <c r="R28">
        <f>SUM('Chromatin organization'!R3:R716)</f>
        <v>0</v>
      </c>
      <c r="S28">
        <f>SUM('Chromatin organization'!S3:S716)</f>
        <v>0</v>
      </c>
      <c r="T28">
        <f>SUM('Chromatin organization'!T3:T716)</f>
        <v>0</v>
      </c>
      <c r="U28">
        <f>SUM('Chromatin organization'!U3:U716)</f>
        <v>0</v>
      </c>
      <c r="V28">
        <f>SUM('Chromatin organization'!V3:V716)</f>
        <v>0</v>
      </c>
      <c r="W28">
        <f>SUM('Chromatin organization'!W3:W716)</f>
        <v>0</v>
      </c>
      <c r="X28">
        <f>SUM('Chromatin organization'!X3:X716)</f>
        <v>0</v>
      </c>
      <c r="Y28">
        <f>SUM('Chromatin organization'!Y3:Y716)</f>
        <v>0</v>
      </c>
      <c r="Z28">
        <f>SUM('Chromatin organization'!Z3:Z716)</f>
        <v>0</v>
      </c>
      <c r="AA28">
        <f>SUM('Chromatin organization'!AA3:AA716)</f>
        <v>0</v>
      </c>
      <c r="AB28">
        <f>SUM('Chromatin organization'!AB3:AB716)</f>
        <v>0</v>
      </c>
      <c r="AC28">
        <f>SUM('Chromatin organization'!AC3:AC716)</f>
        <v>0</v>
      </c>
      <c r="AD28">
        <f>SUM('Chromatin organization'!AD3:AD716)</f>
        <v>0</v>
      </c>
      <c r="AE28">
        <f>SUM('Chromatin organization'!AE3:AE716)</f>
        <v>0</v>
      </c>
      <c r="AF28">
        <f>SUM('Chromatin organization'!AF3:AF716)</f>
        <v>0</v>
      </c>
      <c r="AG28">
        <f>SUM('Chromatin organization'!AG3:AG716)</f>
        <v>0</v>
      </c>
      <c r="AH28">
        <f>SUM('Chromatin organization'!AH3:AH716)</f>
        <v>0</v>
      </c>
      <c r="AI28">
        <f>SUM('Chromatin organization'!AI3:AI716)</f>
        <v>0</v>
      </c>
    </row>
    <row r="29" spans="1:35" x14ac:dyDescent="0.35">
      <c r="A29" s="4" t="s">
        <v>27</v>
      </c>
      <c r="B29">
        <f>SUM('Digestion and absorption'!B3:B716)</f>
        <v>0</v>
      </c>
      <c r="C29">
        <f>SUM('Digestion and absorption'!C3:C716)</f>
        <v>0</v>
      </c>
      <c r="D29">
        <f>SUM('Digestion and absorption'!D3:D716)</f>
        <v>0</v>
      </c>
      <c r="E29">
        <f>SUM('Digestion and absorption'!E3:E716)</f>
        <v>0</v>
      </c>
      <c r="F29">
        <f>SUM('Digestion and absorption'!F3:F716)</f>
        <v>0</v>
      </c>
      <c r="G29">
        <f>SUM('Digestion and absorption'!G3:G716)</f>
        <v>0</v>
      </c>
      <c r="H29">
        <f>SUM('Digestion and absorption'!H3:H716)</f>
        <v>0</v>
      </c>
      <c r="I29">
        <f>SUM('Digestion and absorption'!I3:I716)</f>
        <v>0</v>
      </c>
      <c r="J29">
        <f>SUM('Digestion and absorption'!J3:J716)</f>
        <v>0</v>
      </c>
      <c r="K29">
        <f>SUM('Digestion and absorption'!K3:K716)</f>
        <v>0</v>
      </c>
      <c r="L29">
        <f>SUM('Digestion and absorption'!L3:L716)</f>
        <v>0</v>
      </c>
      <c r="M29">
        <f>SUM('Digestion and absorption'!M3:M716)</f>
        <v>0</v>
      </c>
      <c r="N29">
        <f>SUM('Digestion and absorption'!N3:N716)</f>
        <v>0</v>
      </c>
      <c r="O29">
        <f>SUM('Digestion and absorption'!O3:O716)</f>
        <v>0</v>
      </c>
      <c r="P29">
        <f>SUM('Digestion and absorption'!P3:P716)</f>
        <v>0</v>
      </c>
      <c r="Q29">
        <f>SUM('Digestion and absorption'!Q3:Q716)</f>
        <v>0</v>
      </c>
      <c r="R29">
        <f>SUM('Digestion and absorption'!R3:R716)</f>
        <v>0</v>
      </c>
      <c r="S29">
        <f>SUM('Digestion and absorption'!S3:S716)</f>
        <v>0</v>
      </c>
      <c r="T29">
        <f>SUM('Digestion and absorption'!T3:T716)</f>
        <v>0</v>
      </c>
      <c r="U29">
        <f>SUM('Digestion and absorption'!U3:U716)</f>
        <v>0</v>
      </c>
      <c r="V29">
        <f>SUM('Digestion and absorption'!V3:V716)</f>
        <v>0</v>
      </c>
      <c r="W29">
        <f>SUM('Digestion and absorption'!W3:W716)</f>
        <v>0</v>
      </c>
      <c r="X29">
        <f>SUM('Digestion and absorption'!X3:X716)</f>
        <v>0</v>
      </c>
      <c r="Y29">
        <f>SUM('Digestion and absorption'!Y3:Y716)</f>
        <v>0</v>
      </c>
      <c r="Z29">
        <f>SUM('Digestion and absorption'!Z3:Z716)</f>
        <v>0</v>
      </c>
      <c r="AA29">
        <f>SUM('Digestion and absorption'!AA3:AA716)</f>
        <v>0</v>
      </c>
      <c r="AB29">
        <f>SUM('Digestion and absorption'!AB3:AB716)</f>
        <v>0</v>
      </c>
      <c r="AC29">
        <f>SUM('Digestion and absorption'!AC3:AC716)</f>
        <v>0</v>
      </c>
      <c r="AD29">
        <f>SUM('Digestion and absorption'!AD3:AD716)</f>
        <v>0</v>
      </c>
      <c r="AE29">
        <f>SUM('Digestion and absorption'!AE3:AE716)</f>
        <v>0</v>
      </c>
      <c r="AF29">
        <f>SUM('Digestion and absorption'!AF3:AF716)</f>
        <v>0</v>
      </c>
      <c r="AG29">
        <f>SUM('Digestion and absorption'!AG3:AG716)</f>
        <v>0</v>
      </c>
      <c r="AH29">
        <f>SUM('Digestion and absorption'!AH3:AH716)</f>
        <v>0</v>
      </c>
      <c r="AI29">
        <f>SUM('Digestion and absorption'!AI3:AI716)</f>
        <v>0</v>
      </c>
    </row>
    <row r="30" spans="1:35" x14ac:dyDescent="0.35">
      <c r="A30" s="4" t="s">
        <v>28</v>
      </c>
      <c r="B30">
        <f>SUM('Protein localization'!B3:B715)</f>
        <v>0</v>
      </c>
      <c r="C30">
        <f>SUM('Protein localization'!C3:C715)</f>
        <v>0</v>
      </c>
      <c r="D30">
        <f>SUM('Protein localization'!D3:D715)</f>
        <v>0</v>
      </c>
      <c r="E30">
        <f>SUM('Protein localization'!E3:E715)</f>
        <v>0</v>
      </c>
      <c r="F30">
        <f>SUM('Protein localization'!F3:F715)</f>
        <v>0</v>
      </c>
      <c r="G30">
        <f>SUM('Protein localization'!G3:G715)</f>
        <v>0</v>
      </c>
      <c r="H30">
        <f>SUM('Protein localization'!H3:H715)</f>
        <v>1</v>
      </c>
      <c r="I30">
        <f>SUM('Protein localization'!I3:I715)</f>
        <v>0</v>
      </c>
      <c r="J30">
        <f>SUM('Protein localization'!J3:J715)</f>
        <v>0</v>
      </c>
      <c r="K30">
        <f>SUM('Protein localization'!K3:K715)</f>
        <v>0</v>
      </c>
      <c r="L30">
        <f>SUM('Protein localization'!L3:L715)</f>
        <v>0</v>
      </c>
      <c r="M30">
        <f>SUM('Protein localization'!M3:M715)</f>
        <v>0</v>
      </c>
      <c r="N30">
        <f>SUM('Protein localization'!N3:N715)</f>
        <v>0</v>
      </c>
      <c r="O30">
        <f>SUM('Protein localization'!O3:O715)</f>
        <v>3</v>
      </c>
      <c r="P30">
        <f>SUM('Protein localization'!P3:P715)</f>
        <v>5</v>
      </c>
      <c r="Q30">
        <f>SUM('Protein localization'!Q3:Q715)</f>
        <v>0</v>
      </c>
      <c r="R30">
        <f>SUM('Protein localization'!R3:R715)</f>
        <v>0</v>
      </c>
      <c r="S30">
        <f>SUM('Protein localization'!S3:S715)</f>
        <v>0</v>
      </c>
      <c r="T30">
        <f>SUM('Protein localization'!T3:T715)</f>
        <v>0</v>
      </c>
      <c r="U30">
        <f>SUM('Protein localization'!U3:U715)</f>
        <v>0</v>
      </c>
      <c r="V30">
        <f>SUM('Protein localization'!V3:V715)</f>
        <v>0</v>
      </c>
      <c r="W30">
        <f>SUM('Protein localization'!W3:W715)</f>
        <v>0</v>
      </c>
      <c r="X30">
        <f>SUM('Protein localization'!X3:X715)</f>
        <v>0</v>
      </c>
      <c r="Y30">
        <f>SUM('Protein localization'!Y3:Y715)</f>
        <v>0</v>
      </c>
      <c r="Z30">
        <f>SUM('Protein localization'!Z3:Z715)</f>
        <v>0</v>
      </c>
      <c r="AA30">
        <f>SUM('Protein localization'!AA3:AA715)</f>
        <v>0</v>
      </c>
      <c r="AB30">
        <f>SUM('Protein localization'!AB3:AB715)</f>
        <v>0</v>
      </c>
      <c r="AC30">
        <f>SUM('Protein localization'!AC3:AC715)</f>
        <v>0</v>
      </c>
      <c r="AD30">
        <f>SUM('Protein localization'!AD3:AD715)</f>
        <v>0</v>
      </c>
      <c r="AE30">
        <f>SUM('Protein localization'!AE3:AE715)</f>
        <v>0</v>
      </c>
      <c r="AF30">
        <f>SUM('Protein localization'!AF3:AF715)</f>
        <v>0</v>
      </c>
      <c r="AG30">
        <f>SUM('Protein localization'!AG3:AG715)</f>
        <v>0</v>
      </c>
      <c r="AH30">
        <f>SUM('Protein localization'!AH3:AH715)</f>
        <v>0</v>
      </c>
      <c r="AI30">
        <f>SUM('Protein localization'!AI3:AI715)</f>
        <v>0</v>
      </c>
    </row>
    <row r="31" spans="1:35" x14ac:dyDescent="0.35">
      <c r="A31" s="4" t="s">
        <v>29</v>
      </c>
      <c r="B31">
        <f>SUM('Circadian Clock'!B3:B713)</f>
        <v>0</v>
      </c>
      <c r="C31">
        <f>SUM('Circadian Clock'!C3:C713)</f>
        <v>0</v>
      </c>
      <c r="D31">
        <f>SUM('Circadian Clock'!D3:D713)</f>
        <v>0</v>
      </c>
      <c r="E31">
        <f>SUM('Circadian Clock'!E3:E713)</f>
        <v>0</v>
      </c>
      <c r="F31">
        <f>SUM('Circadian Clock'!F3:F713)</f>
        <v>0</v>
      </c>
      <c r="G31">
        <f>SUM('Circadian Clock'!G3:G713)</f>
        <v>0</v>
      </c>
      <c r="H31">
        <f>SUM('Circadian Clock'!H3:H713)</f>
        <v>0</v>
      </c>
      <c r="I31">
        <f>SUM('Circadian Clock'!I3:I713)</f>
        <v>0</v>
      </c>
      <c r="J31">
        <f>SUM('Circadian Clock'!J3:J713)</f>
        <v>0</v>
      </c>
      <c r="K31">
        <f>SUM('Circadian Clock'!K3:K713)</f>
        <v>0</v>
      </c>
      <c r="L31">
        <f>SUM('Circadian Clock'!L3:L713)</f>
        <v>0</v>
      </c>
      <c r="M31">
        <f>SUM('Circadian Clock'!M3:M713)</f>
        <v>0</v>
      </c>
      <c r="N31">
        <f>SUM('Circadian Clock'!N3:N713)</f>
        <v>0</v>
      </c>
      <c r="O31">
        <f>SUM('Circadian Clock'!O3:O713)</f>
        <v>0</v>
      </c>
      <c r="P31">
        <f>SUM('Circadian Clock'!P3:P713)</f>
        <v>0</v>
      </c>
      <c r="Q31">
        <f>SUM('Circadian Clock'!Q3:Q713)</f>
        <v>0</v>
      </c>
      <c r="R31">
        <f>SUM('Circadian Clock'!R3:R713)</f>
        <v>0</v>
      </c>
      <c r="S31">
        <f>SUM('Circadian Clock'!S3:S713)</f>
        <v>0</v>
      </c>
      <c r="T31">
        <f>SUM('Circadian Clock'!T3:T713)</f>
        <v>0</v>
      </c>
      <c r="U31">
        <f>SUM('Circadian Clock'!U3:U713)</f>
        <v>0</v>
      </c>
      <c r="V31">
        <f>SUM('Circadian Clock'!V3:V713)</f>
        <v>0</v>
      </c>
      <c r="W31">
        <f>SUM('Circadian Clock'!W3:W713)</f>
        <v>0</v>
      </c>
      <c r="X31">
        <f>SUM('Circadian Clock'!X3:X713)</f>
        <v>0</v>
      </c>
      <c r="Y31">
        <f>SUM('Circadian Clock'!Y3:Y713)</f>
        <v>0</v>
      </c>
      <c r="Z31">
        <f>SUM('Circadian Clock'!Z3:Z713)</f>
        <v>0</v>
      </c>
      <c r="AA31">
        <f>SUM('Circadian Clock'!AA3:AA713)</f>
        <v>0</v>
      </c>
      <c r="AB31">
        <f>SUM('Circadian Clock'!AB3:AB713)</f>
        <v>0</v>
      </c>
      <c r="AC31">
        <f>SUM('Circadian Clock'!AC3:AC713)</f>
        <v>0</v>
      </c>
      <c r="AD31">
        <f>SUM('Circadian Clock'!AD3:AD713)</f>
        <v>0</v>
      </c>
      <c r="AE31">
        <f>SUM('Circadian Clock'!AE3:AE713)</f>
        <v>0</v>
      </c>
      <c r="AF31">
        <f>SUM('Circadian Clock'!AF3:AF713)</f>
        <v>0</v>
      </c>
      <c r="AG31">
        <f>SUM('Circadian Clock'!AG3:AG713)</f>
        <v>0</v>
      </c>
      <c r="AH31">
        <f>SUM('Circadian Clock'!AH3:AH713)</f>
        <v>0</v>
      </c>
      <c r="AI31">
        <f>SUM('Circadian Clock'!AI3:AI713)</f>
        <v>0</v>
      </c>
    </row>
    <row r="32" spans="1:35" x14ac:dyDescent="0.35">
      <c r="B32">
        <f>SUM(B3:B31)</f>
        <v>338</v>
      </c>
      <c r="C32">
        <f t="shared" ref="C32:AI32" si="0">SUM(C3:C31)</f>
        <v>78</v>
      </c>
      <c r="D32">
        <f t="shared" si="0"/>
        <v>52</v>
      </c>
      <c r="E32">
        <f t="shared" si="0"/>
        <v>231</v>
      </c>
      <c r="F32">
        <f t="shared" si="0"/>
        <v>21</v>
      </c>
      <c r="G32">
        <f t="shared" si="0"/>
        <v>575</v>
      </c>
      <c r="H32">
        <f t="shared" si="0"/>
        <v>56</v>
      </c>
      <c r="I32">
        <f t="shared" si="0"/>
        <v>80</v>
      </c>
      <c r="J32">
        <f t="shared" si="0"/>
        <v>12</v>
      </c>
      <c r="K32">
        <f t="shared" si="0"/>
        <v>48</v>
      </c>
      <c r="L32">
        <f t="shared" si="0"/>
        <v>4</v>
      </c>
      <c r="M32">
        <f t="shared" si="0"/>
        <v>6</v>
      </c>
      <c r="N32">
        <f t="shared" si="0"/>
        <v>12</v>
      </c>
      <c r="O32">
        <f t="shared" si="0"/>
        <v>287</v>
      </c>
      <c r="P32">
        <f t="shared" si="0"/>
        <v>200</v>
      </c>
      <c r="Q32">
        <f t="shared" ref="Q32" si="1">SUM(Q3:Q31)</f>
        <v>18</v>
      </c>
      <c r="R32">
        <f t="shared" si="0"/>
        <v>9</v>
      </c>
      <c r="S32">
        <f t="shared" si="0"/>
        <v>113</v>
      </c>
      <c r="T32">
        <f t="shared" si="0"/>
        <v>103</v>
      </c>
      <c r="U32">
        <f t="shared" si="0"/>
        <v>58</v>
      </c>
      <c r="V32">
        <f t="shared" si="0"/>
        <v>8</v>
      </c>
      <c r="W32">
        <f t="shared" si="0"/>
        <v>8</v>
      </c>
      <c r="X32">
        <f t="shared" si="0"/>
        <v>102</v>
      </c>
      <c r="Y32">
        <f t="shared" si="0"/>
        <v>6</v>
      </c>
      <c r="Z32">
        <f t="shared" si="0"/>
        <v>2</v>
      </c>
      <c r="AA32">
        <f t="shared" si="0"/>
        <v>33</v>
      </c>
      <c r="AB32">
        <f t="shared" si="0"/>
        <v>3</v>
      </c>
      <c r="AC32">
        <f t="shared" si="0"/>
        <v>33</v>
      </c>
      <c r="AD32">
        <f t="shared" si="0"/>
        <v>15</v>
      </c>
      <c r="AE32">
        <f t="shared" si="0"/>
        <v>40</v>
      </c>
      <c r="AF32">
        <f t="shared" si="0"/>
        <v>65</v>
      </c>
      <c r="AG32">
        <f t="shared" si="0"/>
        <v>17</v>
      </c>
      <c r="AH32">
        <f t="shared" si="0"/>
        <v>28</v>
      </c>
      <c r="AI32">
        <f t="shared" si="0"/>
        <v>32</v>
      </c>
    </row>
  </sheetData>
  <sortState xmlns:xlrd2="http://schemas.microsoft.com/office/spreadsheetml/2017/richdata2" ref="A2:AF34">
    <sortCondition descending="1" ref="A1:A34"/>
  </sortState>
  <conditionalFormatting sqref="A3:A31">
    <cfRule type="cellIs" dxfId="170" priority="51" operator="equal">
      <formula>"N"</formula>
    </cfRule>
    <cfRule type="cellIs" dxfId="169" priority="52" operator="equal">
      <formula>"Y"</formula>
    </cfRule>
  </conditionalFormatting>
  <conditionalFormatting sqref="A3:AI31">
    <cfRule type="cellIs" dxfId="168" priority="7" operator="equal">
      <formula>"U"</formula>
    </cfRule>
  </conditionalFormatting>
  <conditionalFormatting sqref="B3:AI31">
    <cfRule type="cellIs" dxfId="167" priority="1" operator="greaterThan">
      <formula>0</formula>
    </cfRule>
    <cfRule type="cellIs" dxfId="166" priority="3" operator="equal">
      <formula>0</formula>
    </cfRule>
    <cfRule type="cellIs" dxfId="165" priority="4" operator="equal">
      <formula>1</formula>
    </cfRule>
    <cfRule type="cellIs" dxfId="164" priority="5" operator="equal">
      <formula>0</formula>
    </cfRule>
    <cfRule type="expression" priority="6">
      <formula>$B$3:$B$13="N"</formula>
    </cfRule>
    <cfRule type="cellIs" dxfId="163" priority="8" operator="equal">
      <formula>"N"</formula>
    </cfRule>
    <cfRule type="cellIs" dxfId="162" priority="9" operator="equal">
      <formula>"Y"</formula>
    </cfRule>
  </conditionalFormatting>
  <conditionalFormatting sqref="U27:U31">
    <cfRule type="expression" dxfId="161" priority="10">
      <formula>$U$3:$U$13&gt;0</formula>
    </cfRule>
  </conditionalFormatting>
  <conditionalFormatting sqref="AE27:AI31">
    <cfRule type="cellIs" dxfId="160" priority="2" operator="greaterThan">
      <formula>0</formula>
    </cfRule>
  </conditionalFormatting>
  <hyperlinks>
    <hyperlink ref="A3" location="Disease!A1" display="Disease" xr:uid="{1A405848-D53F-4B3D-A053-88E84250DF07}"/>
    <hyperlink ref="A4" location="'Signal Transduction'!A1" display="Signal Transduction" xr:uid="{16F69CDD-E364-4574-BB6F-3B9B69574076}"/>
    <hyperlink ref="A5" location="Metabolism!A1" display="Metabolism" xr:uid="{E4129AD1-0D8B-46B0-BEA0-0013CF659D4F}"/>
    <hyperlink ref="A6" location="'Immune System'!A1" display="Immune System" xr:uid="{9FE17476-9B84-4B06-8C12-82361B82C4CB}"/>
    <hyperlink ref="A7" location="'Cell Cycle'!A1" display="Cell Cycle" xr:uid="{022AC6A5-9A3B-4900-93A1-8503E85BEC4E}"/>
    <hyperlink ref="A8" location="'Gene expression (Transcription)'!A1" display="Gene expression (Transcription)" xr:uid="{82A8DB4C-8F84-4E4F-808B-D37F9B7A7305}"/>
    <hyperlink ref="A9" location="'Metabolism of proteins'!A1" display="Metabolism of proteins" xr:uid="{84E5DA7F-0A06-4D58-9473-092F31142A00}"/>
    <hyperlink ref="A10" location="'Neuronal System'!A1" display="Neuronal System" xr:uid="{FC3CF28A-A25F-4972-8C8F-27C888F11702}"/>
    <hyperlink ref="A11" location="'Developmental Biology'!A1" display="Developmental Biology" xr:uid="{DE973030-93C2-4522-902C-C82C0A63C08F}"/>
    <hyperlink ref="A12" location="'Transport of small molecules'!A1" display="Transport of small molecules" xr:uid="{A97AC4A5-A566-4789-A97A-1D7B35EA031C}"/>
    <hyperlink ref="A13" location="'DNA Repair'!A1" display="DNA Repair" xr:uid="{8771F5C5-E86D-49C4-A6D1-A6846CAF6F02}"/>
    <hyperlink ref="A14" location="'Cellular responses to stimuli'!A1" display="Cellular responses to stimuli" xr:uid="{E18FF19A-FF65-4AF0-8741-0F2ADFF8D912}"/>
    <hyperlink ref="A15" location="'Programmed Cell Death'!A1" display="Programmed Cell Death" xr:uid="{F79544C3-B217-40A7-AB06-09CFB3311894}"/>
    <hyperlink ref="A16" location="Hemostasis!A1" display="Hemostasis" xr:uid="{337D1B32-AFE0-4576-88E7-62A55A8406FF}"/>
    <hyperlink ref="A17" location="'Vesicle-mediated transport'!A1" display="Vesicle-mediated transport" xr:uid="{733CADE8-8F4A-481E-8FD9-65FDCB0007B6}"/>
    <hyperlink ref="A18" location="'Metabolism of RNA'!A1" display="Metabolism of RNA" xr:uid="{06738E9C-EC52-47BF-A4AC-EADACFA1214B}"/>
    <hyperlink ref="A19" location="'DNA Replication'!A1" display="DNA Replication" xr:uid="{A184144A-F7FC-4C59-8BCE-68CDCC387209}"/>
    <hyperlink ref="A20" location="'Sensory Perception'!A1" display="Sensory Perception" xr:uid="{777A3B19-0E16-4C68-8AEA-E9FD71695768}"/>
    <hyperlink ref="A21" location="'Extracellular matrix organizati'!A1" display="Extracellular matrix organization" xr:uid="{693F273C-5ADC-4854-AEBB-FD8B17411555}"/>
    <hyperlink ref="A22" location="'Cell-Cell communication'!A1" display="Cell-Cell communication" xr:uid="{2D34B890-629A-4A90-B920-6A49B95C43BE}"/>
    <hyperlink ref="A23" location="'Organelle biogenesis and mainte'!A1" display="Organelle biogenesis and maintenance" xr:uid="{02D9BBAB-A35E-43B7-973A-AB5492E8CF9B}"/>
    <hyperlink ref="A24" location="Autophagy!A1" display="Autophagy" xr:uid="{A2052AC8-B8D1-42EE-8154-B17BB55B50DD}"/>
    <hyperlink ref="A25" location="'Drug ADME'!A1" display="Azathioprine ADME" xr:uid="{A84D5D97-4D83-4B43-B1C4-FDF88D3B9475}"/>
    <hyperlink ref="A26" location="'Muscle contraction'!A1" display="Muscle contraction" xr:uid="{0F116A4A-0BE1-4020-A715-4275F850D41B}"/>
    <hyperlink ref="A27" location="Reproduction!A1" display="Reproduction" xr:uid="{B35F8114-9EBE-4215-82EA-F2D0EA9EB7BF}"/>
    <hyperlink ref="A28" location="'Chromatin organization'!A1" display="Chromatin organization" xr:uid="{5F0EF126-0381-4D5A-B8C0-88C84C35324E}"/>
    <hyperlink ref="A29" location="'Digestion and absorption'!A1" display="Digestion and absorption" xr:uid="{162D3D88-E34C-4D33-BB28-152F808C470A}"/>
    <hyperlink ref="A30" location="'Protein localization'!A1" display="Protein localization" xr:uid="{7CF71FEC-0560-46C4-B11F-6F931553705B}"/>
    <hyperlink ref="A31" location="'Circadian Clock'!A1" display="Circadian Clock" xr:uid="{67E9E816-D996-4F10-815D-FF63B3BAF152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7C19-DCEA-486B-8826-572A38066AAF}">
  <dimension ref="A1:AI709"/>
  <sheetViews>
    <sheetView zoomScale="115" zoomScaleNormal="115" workbookViewId="0">
      <pane xSplit="1" ySplit="2" topLeftCell="B706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6.90625" style="5" customWidth="1"/>
    <col min="2" max="2" width="13.453125" customWidth="1"/>
    <col min="3" max="3" width="9.54296875" customWidth="1"/>
    <col min="4" max="4" width="9.36328125" bestFit="1" customWidth="1"/>
    <col min="5" max="8" width="13.453125" customWidth="1"/>
    <col min="9" max="9" width="8.6328125" customWidth="1"/>
    <col min="10" max="20" width="13.453125" customWidth="1"/>
    <col min="21" max="21" width="10.6328125" customWidth="1"/>
    <col min="22" max="23" width="13.453125" customWidth="1"/>
    <col min="24" max="24" width="10.453125" customWidth="1"/>
    <col min="25" max="25" width="8.90625" customWidth="1"/>
    <col min="26" max="26" width="8.453125" customWidth="1"/>
    <col min="27" max="27" width="13.453125" customWidth="1"/>
    <col min="28" max="28" width="10.6328125" bestFit="1" customWidth="1"/>
    <col min="29" max="29" width="8.90625" customWidth="1"/>
    <col min="30" max="30" width="8.453125" customWidth="1"/>
    <col min="31" max="31" width="13.453125" customWidth="1"/>
    <col min="32" max="32" width="10.08984375" customWidth="1"/>
    <col min="33" max="35" width="13.453125" customWidth="1"/>
  </cols>
  <sheetData>
    <row r="1" spans="1:35" ht="15" thickBot="1" x14ac:dyDescent="0.4">
      <c r="A1" s="6" t="s">
        <v>31</v>
      </c>
    </row>
    <row r="2" spans="1:35" ht="102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668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685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ht="29" x14ac:dyDescent="0.35">
      <c r="A5" s="5" t="s">
        <v>681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370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679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674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677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672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667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s="5" t="s">
        <v>682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s="5" t="s">
        <v>683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ht="29" x14ac:dyDescent="0.35">
      <c r="A15" s="5" t="s">
        <v>662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603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s="5" t="s">
        <v>627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s="5" t="s">
        <v>440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s="5" t="s">
        <v>602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s="5" t="s">
        <v>604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s="5" t="s">
        <v>357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s="5" t="s">
        <v>441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ht="43.5" x14ac:dyDescent="0.35">
      <c r="A23" s="5" t="s">
        <v>358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s="5" t="s">
        <v>361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s="5" t="s">
        <v>360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s="5" t="s">
        <v>359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s="5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s="5" t="s">
        <v>519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ht="29" x14ac:dyDescent="0.35">
      <c r="A29" s="5" t="s">
        <v>114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s="5" t="s">
        <v>108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ht="29" x14ac:dyDescent="0.35">
      <c r="A31" s="5" t="s">
        <v>109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s="5" t="s">
        <v>151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s="5" t="s">
        <v>111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ht="29" x14ac:dyDescent="0.35">
      <c r="A34" s="5" t="s">
        <v>118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s="5" t="s">
        <v>117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s="5" t="s">
        <v>105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s="5" t="s">
        <v>106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ht="29" x14ac:dyDescent="0.35">
      <c r="A38" s="5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s="5" t="s">
        <v>116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s="5" t="s">
        <v>110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s="5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s="5" t="s">
        <v>115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s="5" t="s">
        <v>112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ht="29" x14ac:dyDescent="0.35">
      <c r="A44" s="5" t="s">
        <v>278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ht="29" x14ac:dyDescent="0.35">
      <c r="A45" s="5" t="s">
        <v>267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ht="29" x14ac:dyDescent="0.35">
      <c r="A46" s="5" t="s">
        <v>277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ht="29" x14ac:dyDescent="0.35">
      <c r="A47" s="5" t="s">
        <v>292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ht="43.5" x14ac:dyDescent="0.35">
      <c r="A48" s="5" t="s">
        <v>265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ht="43.5" x14ac:dyDescent="0.35">
      <c r="A49" s="5" t="s">
        <v>288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ht="29" x14ac:dyDescent="0.35">
      <c r="A50" s="5" t="s">
        <v>297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ht="29" x14ac:dyDescent="0.35">
      <c r="A51" s="5" t="s">
        <v>258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ht="29" x14ac:dyDescent="0.35">
      <c r="A52" s="5" t="s">
        <v>283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ht="29" x14ac:dyDescent="0.35">
      <c r="A53" s="5" t="s">
        <v>309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ht="29" x14ac:dyDescent="0.35">
      <c r="A54" s="5" t="s">
        <v>290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ht="29" x14ac:dyDescent="0.35">
      <c r="A55" s="5" t="s">
        <v>280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ht="29" x14ac:dyDescent="0.35">
      <c r="A56" s="5" t="s">
        <v>286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ht="43.5" x14ac:dyDescent="0.35">
      <c r="A57" s="5" t="s">
        <v>262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ht="29" x14ac:dyDescent="0.35">
      <c r="A58" s="5" t="s">
        <v>301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ht="58" x14ac:dyDescent="0.35">
      <c r="A59" s="5" t="s">
        <v>302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ht="29" x14ac:dyDescent="0.35">
      <c r="A60" s="5" t="s">
        <v>316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ht="29" x14ac:dyDescent="0.35">
      <c r="A61" s="5" t="s">
        <v>274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ht="58" x14ac:dyDescent="0.35">
      <c r="A62" s="5" t="s">
        <v>303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ht="29" x14ac:dyDescent="0.35">
      <c r="A63" s="5" t="s">
        <v>276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ht="29" x14ac:dyDescent="0.35">
      <c r="A64" s="5" t="s">
        <v>212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ht="29" x14ac:dyDescent="0.35">
      <c r="A65" s="5" t="s">
        <v>318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ht="29" x14ac:dyDescent="0.35">
      <c r="A66" s="5" t="s">
        <v>156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ht="29" x14ac:dyDescent="0.35">
      <c r="A67" s="5" t="s">
        <v>287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ht="29" x14ac:dyDescent="0.35">
      <c r="A68" s="5" t="s">
        <v>270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ht="29" x14ac:dyDescent="0.35">
      <c r="A69" s="5" t="s">
        <v>282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ht="43.5" x14ac:dyDescent="0.35">
      <c r="A70" s="5" t="s">
        <v>273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ht="43.5" x14ac:dyDescent="0.35">
      <c r="A71" s="5" t="s">
        <v>269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ht="29" x14ac:dyDescent="0.35">
      <c r="A72" s="5" t="s">
        <v>284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ht="29" x14ac:dyDescent="0.35">
      <c r="A73" s="5" t="s">
        <v>266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ht="29" x14ac:dyDescent="0.35">
      <c r="A74" s="5" t="s">
        <v>272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ht="29" x14ac:dyDescent="0.35">
      <c r="A75" s="5" t="s">
        <v>293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ht="29" x14ac:dyDescent="0.35">
      <c r="A76" s="5" t="s">
        <v>201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ht="29" x14ac:dyDescent="0.35">
      <c r="A77" s="5" t="s">
        <v>268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ht="29" x14ac:dyDescent="0.35">
      <c r="A78" s="5" t="s">
        <v>275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ht="29" x14ac:dyDescent="0.35">
      <c r="A79" s="5" t="s">
        <v>295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ht="43.5" x14ac:dyDescent="0.35">
      <c r="A80" s="5" t="s">
        <v>308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ht="29" x14ac:dyDescent="0.35">
      <c r="A81" s="5" t="s">
        <v>311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ht="29" x14ac:dyDescent="0.35">
      <c r="A82" s="5" t="s">
        <v>294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ht="29" x14ac:dyDescent="0.35">
      <c r="A83" s="5" t="s">
        <v>279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ht="29" x14ac:dyDescent="0.35">
      <c r="A84" s="5" t="s">
        <v>264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ht="29" x14ac:dyDescent="0.35">
      <c r="A85" s="5" t="s">
        <v>298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ht="29" x14ac:dyDescent="0.35">
      <c r="A86" s="5" t="s">
        <v>312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ht="43.5" x14ac:dyDescent="0.35">
      <c r="A87" s="5" t="s">
        <v>315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ht="29" x14ac:dyDescent="0.35">
      <c r="A88" s="5" t="s">
        <v>633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ht="43.5" x14ac:dyDescent="0.35">
      <c r="A89" s="5" t="s">
        <v>319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ht="29" x14ac:dyDescent="0.35">
      <c r="A90" s="5" t="s">
        <v>306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ht="43.5" x14ac:dyDescent="0.35">
      <c r="A91" s="5" t="s">
        <v>291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ht="29" x14ac:dyDescent="0.35">
      <c r="A92" s="5" t="s">
        <v>285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ht="43.5" x14ac:dyDescent="0.35">
      <c r="A93" s="5" t="s">
        <v>134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ht="43.5" x14ac:dyDescent="0.35">
      <c r="A94" s="5" t="s">
        <v>634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ht="29" x14ac:dyDescent="0.35">
      <c r="A95" s="5" t="s">
        <v>263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ht="29" x14ac:dyDescent="0.35">
      <c r="A96" s="5" t="s">
        <v>325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ht="29" x14ac:dyDescent="0.35">
      <c r="A97" s="5" t="s">
        <v>281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ht="29" x14ac:dyDescent="0.35">
      <c r="A98" s="5" t="s">
        <v>310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ht="29" x14ac:dyDescent="0.35">
      <c r="A99" s="5" t="s">
        <v>317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ht="29" x14ac:dyDescent="0.35">
      <c r="A100" s="5" t="s">
        <v>271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s="5" t="s">
        <v>299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ht="29" x14ac:dyDescent="0.35">
      <c r="A102" s="5" t="s">
        <v>307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ht="29" x14ac:dyDescent="0.35">
      <c r="A103" s="5" t="s">
        <v>300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ht="29" x14ac:dyDescent="0.35">
      <c r="A104" s="5" t="s">
        <v>304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ht="29" x14ac:dyDescent="0.35">
      <c r="A105" s="5" t="s">
        <v>305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ht="29" x14ac:dyDescent="0.35">
      <c r="A106" s="5" t="s">
        <v>307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ht="43.5" x14ac:dyDescent="0.35">
      <c r="A107" s="5" t="s">
        <v>308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ht="29" x14ac:dyDescent="0.35">
      <c r="A108" s="5" t="s">
        <v>309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ht="43.5" x14ac:dyDescent="0.35">
      <c r="A109" s="5" t="s">
        <v>634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ht="29" x14ac:dyDescent="0.35">
      <c r="A110" s="5" t="s">
        <v>311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ht="29" x14ac:dyDescent="0.35">
      <c r="A111" s="5" t="s">
        <v>313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s="5" t="s">
        <v>314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ht="29" x14ac:dyDescent="0.35">
      <c r="A113" s="5" t="s">
        <v>292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ht="43.5" x14ac:dyDescent="0.35">
      <c r="A114" s="5" t="s">
        <v>135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s="5" t="s">
        <v>538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s="5" t="s">
        <v>537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s="5" t="s">
        <v>532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s="5" t="s">
        <v>461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s="5" t="s">
        <v>560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ht="29" x14ac:dyDescent="0.35">
      <c r="A120" s="5" t="s">
        <v>572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s="5" t="s">
        <v>573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s="5" t="s">
        <v>354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s="5" t="s">
        <v>459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s="5" t="s">
        <v>551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s="5" t="s">
        <v>563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s="5" t="s">
        <v>716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s="5" t="s">
        <v>526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s="5" t="s">
        <v>544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s="5" t="s">
        <v>547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s="5" t="s">
        <v>540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s="5" t="s">
        <v>546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s="5" t="s">
        <v>711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s="5" t="s">
        <v>542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s="5" t="s">
        <v>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s="5" t="s">
        <v>541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s="5" t="s">
        <v>543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s="5" t="s">
        <v>713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s="5" t="s">
        <v>710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ht="29" x14ac:dyDescent="0.35">
      <c r="A139" s="5" t="s">
        <v>576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s="5" t="s">
        <v>539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ht="29" x14ac:dyDescent="0.35">
      <c r="A141" s="5" t="s">
        <v>574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ht="29" x14ac:dyDescent="0.35">
      <c r="A142" s="5" t="s">
        <v>585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s="5" t="s">
        <v>712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ht="29" x14ac:dyDescent="0.35">
      <c r="A144" s="5" t="s">
        <v>575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s="5" t="s">
        <v>734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s="5" t="s">
        <v>545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ht="29" x14ac:dyDescent="0.35">
      <c r="A147" s="5" t="s">
        <v>103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s="5" t="s">
        <v>535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s="5" t="s">
        <v>686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s="5" t="s">
        <v>534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s="5" t="s">
        <v>536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ht="29" x14ac:dyDescent="0.35">
      <c r="A152" s="5" t="s">
        <v>687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ht="29" x14ac:dyDescent="0.35">
      <c r="A153" s="5" t="s">
        <v>495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ht="29" x14ac:dyDescent="0.35">
      <c r="A154" s="5" t="s">
        <v>493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ht="29" x14ac:dyDescent="0.35">
      <c r="A155" s="5" t="s">
        <v>494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ht="29" x14ac:dyDescent="0.35">
      <c r="A156" s="5" t="s">
        <v>491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ht="29" x14ac:dyDescent="0.35">
      <c r="A157" s="5" t="s">
        <v>492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ht="29" x14ac:dyDescent="0.35">
      <c r="A158" s="5" t="s">
        <v>489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s="5" t="s">
        <v>488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ht="29" x14ac:dyDescent="0.35">
      <c r="A160" s="5" t="s">
        <v>490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s="5" t="s">
        <v>533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ht="29" x14ac:dyDescent="0.35">
      <c r="A162" s="5" t="s">
        <v>553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ht="29" x14ac:dyDescent="0.35">
      <c r="A163" s="5" t="s">
        <v>562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s="5" t="s">
        <v>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ht="29" x14ac:dyDescent="0.35">
      <c r="A165" s="5" t="s">
        <v>98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ht="29" x14ac:dyDescent="0.35">
      <c r="A166" s="5" t="s">
        <v>378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ht="29" x14ac:dyDescent="0.35">
      <c r="A167" s="5" t="s">
        <v>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ht="29" x14ac:dyDescent="0.35">
      <c r="A168" s="5" t="s">
        <v>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s="5" t="s">
        <v>462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ht="29" x14ac:dyDescent="0.35">
      <c r="A170" s="5" t="s">
        <v>559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s="5" t="s">
        <v>707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ht="43.5" x14ac:dyDescent="0.35">
      <c r="A172" s="5" t="s">
        <v>561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ht="29" x14ac:dyDescent="0.35">
      <c r="A173" s="5" t="s">
        <v>557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ht="29" x14ac:dyDescent="0.35">
      <c r="A174" s="5" t="s">
        <v>558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ht="29" x14ac:dyDescent="0.35">
      <c r="A175" s="5" t="s">
        <v>101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ht="29" x14ac:dyDescent="0.35">
      <c r="A176" s="5" t="s">
        <v>402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ht="43.5" x14ac:dyDescent="0.35">
      <c r="A177" s="5" t="s">
        <v>102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ht="29" x14ac:dyDescent="0.35">
      <c r="A178" s="5" t="s">
        <v>99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ht="29" x14ac:dyDescent="0.35">
      <c r="A179" s="5" t="s">
        <v>100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s="5" t="s">
        <v>404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s="5" t="s">
        <v>403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s="5" t="s">
        <v>406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s="5" t="s">
        <v>405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s="5" t="s">
        <v>522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ht="29" x14ac:dyDescent="0.35">
      <c r="A185" s="5" t="s">
        <v>521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s="5" t="s">
        <v>520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s="5" t="s">
        <v>601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s="5" t="s">
        <v>600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s="5" t="s">
        <v>598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s="5" t="s">
        <v>599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s="5" t="s">
        <v>529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ht="29" x14ac:dyDescent="0.35">
      <c r="A192" s="5" t="s">
        <v>531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s="5" t="s">
        <v>528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s="5" t="s">
        <v>527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s="5" t="s">
        <v>571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s="5" t="s">
        <v>550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s="5" t="s">
        <v>552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s="5" t="s">
        <v>393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s="5" t="s">
        <v>570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s="5" t="s">
        <v>646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ht="29" x14ac:dyDescent="0.35">
      <c r="A201" s="5" t="s">
        <v>70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ht="29" x14ac:dyDescent="0.35">
      <c r="A202" s="5" t="s">
        <v>347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ht="29" x14ac:dyDescent="0.35">
      <c r="A203" s="5" t="s">
        <v>735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ht="29" x14ac:dyDescent="0.35">
      <c r="A204" s="5" t="s">
        <v>736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ht="29" x14ac:dyDescent="0.35">
      <c r="A205" s="5" t="s">
        <v>737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ht="29" x14ac:dyDescent="0.35">
      <c r="A206" s="5" t="s">
        <v>738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ht="29" x14ac:dyDescent="0.35">
      <c r="A207" s="5" t="s">
        <v>66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ht="29" x14ac:dyDescent="0.35">
      <c r="A208" s="5" t="s">
        <v>67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ht="29" x14ac:dyDescent="0.35">
      <c r="A209" s="5" t="s">
        <v>346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ht="29" x14ac:dyDescent="0.35">
      <c r="A210" s="5" t="s">
        <v>626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s="5" t="s">
        <v>355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s="5" t="s">
        <v>739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ht="29" x14ac:dyDescent="0.35">
      <c r="A213" s="5" t="s">
        <v>583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ht="29" x14ac:dyDescent="0.35">
      <c r="A214" s="5" t="s">
        <v>579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s="5" t="s">
        <v>569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s="5" t="s">
        <v>530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ht="29" x14ac:dyDescent="0.35">
      <c r="A217" s="5" t="s">
        <v>478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ht="29" x14ac:dyDescent="0.35">
      <c r="A218" s="5" t="s">
        <v>464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s="5" t="s">
        <v>554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s="5" t="s">
        <v>555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s="5" t="s">
        <v>566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s="5" t="s">
        <v>556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s="5" t="s">
        <v>477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s="5" t="s">
        <v>586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s="5" t="s">
        <v>567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s="5" t="s">
        <v>568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ht="29" x14ac:dyDescent="0.35">
      <c r="A227" s="5" t="s">
        <v>518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ht="29" x14ac:dyDescent="0.35">
      <c r="A228" s="5" t="s">
        <v>722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s="5" t="s">
        <v>390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s="5" t="s">
        <v>581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ht="29" x14ac:dyDescent="0.35">
      <c r="A231" s="5" t="s">
        <v>580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s="5" t="s">
        <v>690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ht="43.5" x14ac:dyDescent="0.35">
      <c r="A233" s="5" t="s">
        <v>584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ht="29" x14ac:dyDescent="0.35">
      <c r="A234" s="5" t="s">
        <v>578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s="5" t="s">
        <v>104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s="5" t="s">
        <v>362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s="5" t="s">
        <v>426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s="5" t="s">
        <v>454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s="5" t="s">
        <v>483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s="5" t="s">
        <v>589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s="5" t="s">
        <v>587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ht="29" x14ac:dyDescent="0.35">
      <c r="A242" s="5" t="s">
        <v>577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ht="43.5" x14ac:dyDescent="0.35">
      <c r="A243" s="5" t="s">
        <v>565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ht="29" x14ac:dyDescent="0.35">
      <c r="A244" s="5" t="s">
        <v>582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ht="29" x14ac:dyDescent="0.35">
      <c r="A245" s="5" t="s">
        <v>564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s="5" t="s">
        <v>691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s="5" t="s">
        <v>460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s="5" t="s">
        <v>363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s="5" t="s">
        <v>590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s="5" t="s">
        <v>484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s="5" t="s">
        <v>588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s="5" t="s">
        <v>689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s="5" t="s">
        <v>714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s="5" t="s">
        <v>549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s="5" t="s">
        <v>548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s="5" t="s">
        <v>715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s="5" t="s">
        <v>391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s="5" t="s">
        <v>740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s="5" t="s">
        <v>651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s="5" t="s">
        <v>653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s="5" t="s">
        <v>654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s="5" t="s">
        <v>741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s="5" t="s">
        <v>742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s="5" t="s">
        <v>743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s="5" t="s">
        <v>744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s="5" t="s">
        <v>745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s="5" t="s">
        <v>746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s="5" t="s">
        <v>747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s="5" t="s">
        <v>655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s="5" t="s">
        <v>748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ht="29" x14ac:dyDescent="0.35">
      <c r="A271" s="5" t="s">
        <v>523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s="5" t="s">
        <v>65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s="5" t="s">
        <v>688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ht="29" x14ac:dyDescent="0.35">
      <c r="A274" s="5" t="s">
        <v>525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s="5" t="s">
        <v>69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s="5" t="s">
        <v>445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s="5" t="s">
        <v>647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s="5" t="s">
        <v>648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s="5" t="s">
        <v>650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s="5" t="s">
        <v>652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s="5" t="s">
        <v>656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ht="29" x14ac:dyDescent="0.35">
      <c r="A282" s="5" t="s">
        <v>455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s="5" t="s">
        <v>86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s="5" t="s">
        <v>466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s="5" t="s">
        <v>636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s="5" t="s">
        <v>630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ht="29" x14ac:dyDescent="0.35">
      <c r="A287" s="5" t="s">
        <v>401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s="5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s="5" t="s">
        <v>453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s="5" t="s">
        <v>631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s="5" t="s">
        <v>632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s="5" t="s">
        <v>388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s="5" t="s">
        <v>613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s="5" t="s">
        <v>611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s="5" t="s">
        <v>610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s="5" t="s">
        <v>612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s="5" t="s">
        <v>615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s="5" t="s">
        <v>617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s="5" t="s">
        <v>616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s="5" t="s">
        <v>614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ht="29" x14ac:dyDescent="0.35">
      <c r="A301" s="5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ht="29" x14ac:dyDescent="0.35">
      <c r="A302" s="5" t="s">
        <v>381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ht="29" x14ac:dyDescent="0.35">
      <c r="A303" s="5" t="s">
        <v>397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ht="29" x14ac:dyDescent="0.35">
      <c r="A304" s="5" t="s">
        <v>437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s="5" t="s">
        <v>695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s="5" t="s">
        <v>496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ht="29" x14ac:dyDescent="0.35">
      <c r="A307" s="5" t="s">
        <v>79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ht="29" x14ac:dyDescent="0.35">
      <c r="A308" s="5" t="s">
        <v>609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s="5" t="s">
        <v>438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ht="29" x14ac:dyDescent="0.35">
      <c r="A310" s="5" t="s">
        <v>608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s="5" t="s">
        <v>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ht="29" x14ac:dyDescent="0.35">
      <c r="A312" s="5" t="s">
        <v>471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s="5" t="s">
        <v>591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s="5" t="s">
        <v>379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s="5" t="s">
        <v>592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s="5" t="s">
        <v>425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s="5" t="s">
        <v>593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s="5" t="s">
        <v>380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ht="29" x14ac:dyDescent="0.35">
      <c r="A319" s="5" t="s">
        <v>475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s="5" t="s">
        <v>89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s="5" t="s">
        <v>398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s="5" t="s">
        <v>465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s="5" t="s">
        <v>392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ht="29" x14ac:dyDescent="0.35">
      <c r="A324" s="5" t="s">
        <v>93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s="5" t="s">
        <v>399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s="5" t="s">
        <v>400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s="5" t="s">
        <v>709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s="5" t="s">
        <v>645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ht="29" x14ac:dyDescent="0.35">
      <c r="A329" s="5" t="s">
        <v>476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ht="29" x14ac:dyDescent="0.35">
      <c r="A330" s="5" t="s">
        <v>78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ht="29" x14ac:dyDescent="0.35">
      <c r="A331" s="5" t="s">
        <v>64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ht="29" x14ac:dyDescent="0.35">
      <c r="A332" s="5" t="s">
        <v>92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s="5" t="s">
        <v>708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s="5" t="s">
        <v>394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s="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s="5" t="s">
        <v>371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s="5" t="s">
        <v>732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s="5" t="s">
        <v>501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s="5" t="s">
        <v>349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s="5" t="s">
        <v>356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s="5" t="s">
        <v>692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s="5" t="s">
        <v>395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s="5" t="s">
        <v>628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s="5" t="s">
        <v>500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s="5" t="s">
        <v>383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s="5" t="s">
        <v>87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s="5" t="s">
        <v>436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s="5" t="s">
        <v>473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s="5" t="s">
        <v>62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ht="29" x14ac:dyDescent="0.35">
      <c r="A350" s="5" t="s">
        <v>384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s="5" t="s">
        <v>85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s="5" t="s">
        <v>91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s="5" t="s">
        <v>499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s="5" t="s">
        <v>620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s="5" t="s">
        <v>80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ht="29" x14ac:dyDescent="0.35">
      <c r="A356" s="5" t="s">
        <v>717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ht="29" x14ac:dyDescent="0.35">
      <c r="A357" s="5" t="s">
        <v>479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s="5" t="s">
        <v>351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s="5" t="s">
        <v>480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s="5" t="s">
        <v>350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ht="29" x14ac:dyDescent="0.35">
      <c r="A361" s="5" t="s">
        <v>468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ht="29" x14ac:dyDescent="0.35">
      <c r="A362" s="5" t="s">
        <v>605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s="5" t="s">
        <v>352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s="5" t="s">
        <v>467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ht="29" x14ac:dyDescent="0.35">
      <c r="A365" s="5" t="s">
        <v>719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ht="29" x14ac:dyDescent="0.35">
      <c r="A366" s="5" t="s">
        <v>75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ht="29" x14ac:dyDescent="0.35">
      <c r="A367" s="5" t="s">
        <v>606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ht="29" x14ac:dyDescent="0.35">
      <c r="A368" s="5" t="s">
        <v>718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s="5" t="s">
        <v>595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ht="29" x14ac:dyDescent="0.35">
      <c r="A370" s="5" t="s">
        <v>594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ht="29" x14ac:dyDescent="0.35">
      <c r="A371" s="5" t="s">
        <v>433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ht="29" x14ac:dyDescent="0.35">
      <c r="A372" s="5" t="s">
        <v>607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ht="29" x14ac:dyDescent="0.35">
      <c r="A373" s="5" t="s">
        <v>387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ht="29" x14ac:dyDescent="0.35">
      <c r="A374" s="5" t="s">
        <v>386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ht="29" x14ac:dyDescent="0.35">
      <c r="A375" s="5" t="s">
        <v>385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s="5" t="s">
        <v>644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s="5" t="s">
        <v>635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ht="29" x14ac:dyDescent="0.35">
      <c r="A378" s="5" t="s">
        <v>68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ht="43.5" x14ac:dyDescent="0.35">
      <c r="A379" s="5" t="s">
        <v>451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s="5" t="s">
        <v>448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ht="29" x14ac:dyDescent="0.35">
      <c r="A381" s="5" t="s">
        <v>449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ht="29" x14ac:dyDescent="0.35">
      <c r="A382" s="5" t="s">
        <v>450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s="5" t="s">
        <v>446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s="5" t="s">
        <v>447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ht="43.5" x14ac:dyDescent="0.35">
      <c r="A385" s="5" t="s">
        <v>642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s="5" t="s">
        <v>643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s="5" t="s">
        <v>456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s="5" t="s">
        <v>641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ht="29" x14ac:dyDescent="0.35">
      <c r="A389" s="5" t="s">
        <v>720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ht="29" x14ac:dyDescent="0.35">
      <c r="A390" s="5" t="s">
        <v>625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ht="29" x14ac:dyDescent="0.35">
      <c r="A391" s="5" t="s">
        <v>372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ht="29" x14ac:dyDescent="0.35">
      <c r="A392" s="5" t="s">
        <v>706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ht="29" x14ac:dyDescent="0.35">
      <c r="A393" s="5" t="s">
        <v>694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s="5" t="s">
        <v>444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s="5" t="s">
        <v>373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s="5" t="s">
        <v>485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s="5" t="s">
        <v>90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s="5" t="s">
        <v>463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ht="29" x14ac:dyDescent="0.35">
      <c r="A399" s="5" t="s">
        <v>81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ht="43.5" x14ac:dyDescent="0.35">
      <c r="A400" s="5" t="s">
        <v>624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ht="29" x14ac:dyDescent="0.35">
      <c r="A401" s="5" t="s">
        <v>721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s="5" t="s">
        <v>629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s="5" t="s">
        <v>637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s="5" t="s">
        <v>749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s="5" t="s">
        <v>639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s="5" t="s">
        <v>649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s="5" t="s">
        <v>750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ht="29" x14ac:dyDescent="0.35">
      <c r="A408" s="5" t="s">
        <v>638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ht="29" x14ac:dyDescent="0.35">
      <c r="A409" s="5" t="s">
        <v>443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s="5" t="s">
        <v>376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ht="29" x14ac:dyDescent="0.35">
      <c r="A411" s="5" t="s">
        <v>374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s="5" t="s">
        <v>377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s="5" t="s">
        <v>375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s="5" t="s">
        <v>731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s="5" t="s">
        <v>733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s="5" t="s">
        <v>503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s="5" t="s">
        <v>474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s="5" t="s">
        <v>511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s="5" t="s">
        <v>84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ht="29" x14ac:dyDescent="0.35">
      <c r="A420" s="5" t="s">
        <v>622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s="5" t="s">
        <v>640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ht="29" x14ac:dyDescent="0.35">
      <c r="A422" s="5" t="s">
        <v>502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s="5" t="s">
        <v>623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s="5" t="s">
        <v>508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ht="29" x14ac:dyDescent="0.35">
      <c r="A425" s="5" t="s">
        <v>82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s="5" t="s">
        <v>431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s="5" t="s">
        <v>486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s="5" t="s">
        <v>618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s="5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s="5" t="s">
        <v>430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s="5" t="s">
        <v>428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s="5" t="s">
        <v>429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s="5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ht="29" x14ac:dyDescent="0.35">
      <c r="A434" s="5" t="s">
        <v>506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ht="29" x14ac:dyDescent="0.35">
      <c r="A435" s="5" t="s">
        <v>509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ht="29" x14ac:dyDescent="0.35">
      <c r="A436" s="5" t="s">
        <v>504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ht="29" x14ac:dyDescent="0.35">
      <c r="A437" s="5" t="s">
        <v>505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ht="29" x14ac:dyDescent="0.35">
      <c r="A438" s="5" t="s">
        <v>507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s="5" t="s">
        <v>517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s="5" t="s">
        <v>693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s="5" t="s">
        <v>396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ht="29" x14ac:dyDescent="0.35">
      <c r="A442" s="5" t="s">
        <v>512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ht="29" x14ac:dyDescent="0.35">
      <c r="A443" s="5" t="s">
        <v>515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s="5" t="s">
        <v>513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ht="29" x14ac:dyDescent="0.35">
      <c r="A445" s="5" t="s">
        <v>514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ht="29" x14ac:dyDescent="0.35">
      <c r="A446" s="5" t="s">
        <v>516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s="5" t="s">
        <v>84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ht="29" x14ac:dyDescent="0.35">
      <c r="A448" s="5" t="s">
        <v>622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ht="29" x14ac:dyDescent="0.35">
      <c r="A449" s="5" t="s">
        <v>510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ht="29" x14ac:dyDescent="0.35">
      <c r="A450" s="5" t="s">
        <v>83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s="5" t="s">
        <v>431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s="5" t="s">
        <v>487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s="5" t="s">
        <v>619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s="5" t="s">
        <v>640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s="5" t="s">
        <v>623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s="5" t="s">
        <v>621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s="5" t="s">
        <v>368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s="5" t="s">
        <v>429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s="5" t="s">
        <v>432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s="5" t="s">
        <v>430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s="5" t="s">
        <v>427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s="5" t="s">
        <v>428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s="5" t="s">
        <v>472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ht="29" x14ac:dyDescent="0.35">
      <c r="A464" s="5" t="s">
        <v>74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ht="29" x14ac:dyDescent="0.35">
      <c r="A465" s="5" t="s">
        <v>344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s="5" t="s">
        <v>673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ht="29" x14ac:dyDescent="0.35">
      <c r="A467" s="5" t="s">
        <v>434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ht="29" x14ac:dyDescent="0.35">
      <c r="A468" s="5" t="s">
        <v>119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s="5" t="s">
        <v>671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ht="29" x14ac:dyDescent="0.35">
      <c r="A470" s="5" t="s">
        <v>661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s="5" t="s">
        <v>678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s="5" t="s">
        <v>676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s="5" t="s">
        <v>343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s="5" t="s">
        <v>342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s="5" t="s">
        <v>323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s="5" t="s">
        <v>149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s="5" t="s">
        <v>132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s="5" t="s">
        <v>159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s="5" t="s">
        <v>234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s="5" t="s">
        <v>233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s="5" t="s">
        <v>227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s="5" t="s">
        <v>229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s="5" t="s">
        <v>228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s="5" t="s">
        <v>226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s="5" t="s">
        <v>150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ht="29" x14ac:dyDescent="0.35">
      <c r="A486" s="5" t="s">
        <v>142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ht="29" x14ac:dyDescent="0.35">
      <c r="A487" s="5" t="s">
        <v>213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ht="29" x14ac:dyDescent="0.35">
      <c r="A488" s="5" t="s">
        <v>659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ht="29" x14ac:dyDescent="0.35">
      <c r="A489" s="5" t="s">
        <v>657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ht="29" x14ac:dyDescent="0.35">
      <c r="A490" s="5" t="s">
        <v>658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ht="29" x14ac:dyDescent="0.35">
      <c r="A491" s="5" t="s">
        <v>660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ht="29" x14ac:dyDescent="0.35">
      <c r="A492" s="5" t="s">
        <v>141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s="5" t="s">
        <v>250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s="5" t="s">
        <v>138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s="5" t="s">
        <v>153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ht="29" x14ac:dyDescent="0.35">
      <c r="A496" s="5" t="s">
        <v>152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s="5" t="s">
        <v>155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s="5" t="s">
        <v>154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s="5" t="s">
        <v>210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s="5" t="s">
        <v>185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ht="29" x14ac:dyDescent="0.35">
      <c r="A501" s="5" t="s">
        <v>321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ht="29" x14ac:dyDescent="0.35">
      <c r="A502" s="5" t="s">
        <v>139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s="5" t="s">
        <v>211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ht="29" x14ac:dyDescent="0.35">
      <c r="A504" s="5" t="s">
        <v>184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ht="29" x14ac:dyDescent="0.35">
      <c r="A505" s="5" t="s">
        <v>136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s="5" t="s">
        <v>243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s="5" t="s">
        <v>127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s="5" t="s">
        <v>180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s="5" t="s">
        <v>123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s="5" t="s">
        <v>124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s="5" t="s">
        <v>257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s="5" t="s">
        <v>231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s="5" t="s">
        <v>131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s="5" t="s">
        <v>128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s="5" t="s">
        <v>125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s="5" t="s">
        <v>129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s="5" t="s">
        <v>130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s="5" t="s">
        <v>222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s="5" t="s">
        <v>225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s="5" t="s">
        <v>140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s="5" t="s">
        <v>230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s="5" t="s">
        <v>126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s="5" t="s">
        <v>199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ht="29" x14ac:dyDescent="0.35">
      <c r="A524" s="5" t="s">
        <v>220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ht="29" x14ac:dyDescent="0.35">
      <c r="A525" s="5" t="s">
        <v>254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ht="29" x14ac:dyDescent="0.35">
      <c r="A526" s="5" t="s">
        <v>256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s="5" t="s">
        <v>221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s="5" t="s">
        <v>148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ht="29" x14ac:dyDescent="0.35">
      <c r="A529" s="5" t="s">
        <v>255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s="5" t="s">
        <v>137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s="5" t="s">
        <v>198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s="5" t="s">
        <v>252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s="5" t="s">
        <v>232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ht="29" x14ac:dyDescent="0.35">
      <c r="A534" s="5" t="s">
        <v>206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s="5" t="s">
        <v>203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s="5" t="s">
        <v>181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s="5" t="s">
        <v>183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s="5" t="s">
        <v>182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ht="29" x14ac:dyDescent="0.35">
      <c r="A539" s="5" t="s">
        <v>320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s="5" t="s">
        <v>179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s="5" t="s">
        <v>176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s="5" t="s">
        <v>251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s="5" t="s">
        <v>197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s="5" t="s">
        <v>196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s="5" t="s">
        <v>200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s="5" t="s">
        <v>324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s="5" t="s">
        <v>170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s="5" t="s">
        <v>122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s="5" t="s">
        <v>249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s="5" t="s">
        <v>202</v>
      </c>
      <c r="B550">
        <v>0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s="5" t="s">
        <v>165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ht="29" x14ac:dyDescent="0.35">
      <c r="A552" s="5" t="s">
        <v>326</v>
      </c>
      <c r="B552">
        <v>0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s="5" t="s">
        <v>169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s="5" t="s">
        <v>174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s="5" t="s">
        <v>207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s="5" t="s">
        <v>120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ht="29" x14ac:dyDescent="0.35">
      <c r="A557" s="5" t="s">
        <v>162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s="5" t="s">
        <v>167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s="5" t="s">
        <v>173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s="5" t="s">
        <v>223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s="5" t="s">
        <v>175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s="5" t="s">
        <v>171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s="5" t="s">
        <v>168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ht="29" x14ac:dyDescent="0.35">
      <c r="A564" s="5" t="s">
        <v>327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s="5" t="s">
        <v>161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s="5" t="s">
        <v>195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s="5" t="s">
        <v>296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s="5" t="s">
        <v>166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s="5" t="s">
        <v>204</v>
      </c>
      <c r="B569">
        <v>0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s="5" t="s">
        <v>224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s="5" t="s">
        <v>160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s="5" t="s">
        <v>172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s="5" t="s">
        <v>163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s="5" t="s">
        <v>164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s="5" t="s">
        <v>322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ht="29" x14ac:dyDescent="0.35">
      <c r="A576" s="5" t="s">
        <v>205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s="5" t="s">
        <v>439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s="5" t="s">
        <v>730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s="5" t="s">
        <v>353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s="5" t="s">
        <v>696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s="5" t="s">
        <v>389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s="5" t="s">
        <v>697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s="5" t="s">
        <v>469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s="5" t="s">
        <v>422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s="5" t="s">
        <v>417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s="5" t="s">
        <v>423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s="5" t="s">
        <v>420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s="5" t="s">
        <v>418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s="5" t="s">
        <v>424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s="5" t="s">
        <v>415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s="5" t="s">
        <v>414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s="5" t="s">
        <v>419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s="5" t="s">
        <v>416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s="5" t="s">
        <v>421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ht="29" x14ac:dyDescent="0.35">
      <c r="A595" s="5" t="s">
        <v>728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s="5" t="s">
        <v>727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ht="29" x14ac:dyDescent="0.35">
      <c r="A597" s="5" t="s">
        <v>524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s="5" t="s">
        <v>442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s="5" t="s">
        <v>729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ht="29" x14ac:dyDescent="0.35">
      <c r="A600" s="5" t="s">
        <v>724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ht="29" x14ac:dyDescent="0.35">
      <c r="A601" s="5" t="s">
        <v>723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s="5" t="s">
        <v>726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s="5" t="s">
        <v>725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ht="29" x14ac:dyDescent="0.35">
      <c r="A604" s="5" t="s">
        <v>481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ht="29" x14ac:dyDescent="0.35">
      <c r="A605" s="5" t="s">
        <v>597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ht="29" x14ac:dyDescent="0.35">
      <c r="A606" s="5" t="s">
        <v>482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ht="29" x14ac:dyDescent="0.35">
      <c r="A607" s="5" t="s">
        <v>596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s="5" t="s">
        <v>289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s="5" t="s">
        <v>261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ht="29" x14ac:dyDescent="0.35">
      <c r="A610" s="5" t="s">
        <v>338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ht="29" x14ac:dyDescent="0.35">
      <c r="A611" s="5" t="s">
        <v>339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s="5" t="s">
        <v>107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s="5" t="s">
        <v>158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s="5" t="s">
        <v>157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s="5" t="s">
        <v>458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s="5" t="s">
        <v>457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s="5" t="s">
        <v>133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ht="29" x14ac:dyDescent="0.35">
      <c r="A618" s="5" t="s">
        <v>214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ht="29" x14ac:dyDescent="0.35">
      <c r="A619" s="5" t="s">
        <v>121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ht="29" x14ac:dyDescent="0.35">
      <c r="A620" s="5" t="s">
        <v>253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s="5" t="s">
        <v>680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s="5" t="s">
        <v>235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ht="29" x14ac:dyDescent="0.35">
      <c r="A623" s="5" t="s">
        <v>259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s="5" t="s">
        <v>340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s="5" t="s">
        <v>218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ht="29" x14ac:dyDescent="0.35">
      <c r="A626" s="5" t="s">
        <v>435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s="5" t="s">
        <v>452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ht="29" x14ac:dyDescent="0.35">
      <c r="A628" s="5" t="s">
        <v>219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s="5" t="s">
        <v>407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ht="43.5" x14ac:dyDescent="0.35">
      <c r="A630" s="5" t="s">
        <v>751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ht="29" x14ac:dyDescent="0.35">
      <c r="A631" s="5" t="s">
        <v>412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ht="29" x14ac:dyDescent="0.35">
      <c r="A632" s="5" t="s">
        <v>345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ht="29" x14ac:dyDescent="0.35">
      <c r="A633" s="5" t="s">
        <v>333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ht="29" x14ac:dyDescent="0.35">
      <c r="A634" s="5" t="s">
        <v>260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s="5" t="s">
        <v>332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s="5" t="s">
        <v>330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s="5" t="s">
        <v>331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ht="29" x14ac:dyDescent="0.35">
      <c r="A638" s="5" t="s">
        <v>186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s="5" t="s">
        <v>189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ht="29" x14ac:dyDescent="0.35">
      <c r="A640" s="5" t="s">
        <v>188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s="5" t="s">
        <v>187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ht="29" x14ac:dyDescent="0.35">
      <c r="A642" s="5" t="s">
        <v>329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s="5" t="s">
        <v>190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s="5" t="s">
        <v>191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s="5" t="s">
        <v>194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s="5" t="s">
        <v>193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s="5" t="s">
        <v>192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s="5" t="s">
        <v>334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s="5" t="s">
        <v>670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ht="29" x14ac:dyDescent="0.35">
      <c r="A650" s="5" t="s">
        <v>72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ht="29" x14ac:dyDescent="0.35">
      <c r="A651" s="5" t="s">
        <v>77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ht="29" x14ac:dyDescent="0.35">
      <c r="A652" s="5" t="s">
        <v>215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ht="29" x14ac:dyDescent="0.35">
      <c r="A653" s="5" t="s">
        <v>217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ht="29" x14ac:dyDescent="0.35">
      <c r="A654" s="5" t="s">
        <v>216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ht="29" x14ac:dyDescent="0.35">
      <c r="A655" s="5" t="s">
        <v>71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ht="29" x14ac:dyDescent="0.35">
      <c r="A656" s="5" t="s">
        <v>73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ht="29" x14ac:dyDescent="0.35">
      <c r="A657" s="5" t="s">
        <v>328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ht="29" x14ac:dyDescent="0.35">
      <c r="A658" s="5" t="s">
        <v>341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s="5" t="s">
        <v>665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ht="29" x14ac:dyDescent="0.35">
      <c r="A660" s="5" t="s">
        <v>701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ht="29" x14ac:dyDescent="0.35">
      <c r="A661" s="5" t="s">
        <v>705</v>
      </c>
      <c r="B661">
        <v>0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ht="29" x14ac:dyDescent="0.35">
      <c r="A662" s="5" t="s">
        <v>700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ht="29" x14ac:dyDescent="0.35">
      <c r="A663" s="5" t="s">
        <v>704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ht="43.5" x14ac:dyDescent="0.35">
      <c r="A664" s="5" t="s">
        <v>698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ht="43.5" x14ac:dyDescent="0.35">
      <c r="A665" s="5" t="s">
        <v>699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ht="43.5" x14ac:dyDescent="0.35">
      <c r="A666" s="5" t="s">
        <v>702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ht="43.5" x14ac:dyDescent="0.35">
      <c r="A667" s="5" t="s">
        <v>703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s="5" t="s">
        <v>669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s="5" t="s">
        <v>664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ht="29" x14ac:dyDescent="0.35">
      <c r="A670" s="5" t="s">
        <v>666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ht="29" x14ac:dyDescent="0.35">
      <c r="A671" s="5" t="s">
        <v>238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ht="29" x14ac:dyDescent="0.35">
      <c r="A672" s="5" t="s">
        <v>240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ht="29" x14ac:dyDescent="0.35">
      <c r="A673" s="5" t="s">
        <v>239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ht="29" x14ac:dyDescent="0.35">
      <c r="A674" s="5" t="s">
        <v>241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ht="29" x14ac:dyDescent="0.35">
      <c r="A675" s="5" t="s">
        <v>242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ht="29" x14ac:dyDescent="0.35">
      <c r="A676" s="5" t="s">
        <v>143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ht="29" x14ac:dyDescent="0.35">
      <c r="A677" s="5" t="s">
        <v>146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ht="29" x14ac:dyDescent="0.35">
      <c r="A678" s="5" t="s">
        <v>144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ht="29" x14ac:dyDescent="0.35">
      <c r="A679" s="5" t="s">
        <v>145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ht="29" x14ac:dyDescent="0.35">
      <c r="A680" s="5" t="s">
        <v>147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s="5" t="s">
        <v>236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s="5" t="s">
        <v>237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s="5" t="s">
        <v>245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s="5" t="s">
        <v>244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s="5" t="s">
        <v>247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s="5" t="s">
        <v>248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s="5" t="s">
        <v>246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ht="29" x14ac:dyDescent="0.35">
      <c r="A688" s="5" t="s">
        <v>178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ht="29" x14ac:dyDescent="0.35">
      <c r="A689" s="5" t="s">
        <v>177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ht="29" x14ac:dyDescent="0.35">
      <c r="A690" s="5" t="s">
        <v>336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ht="29" x14ac:dyDescent="0.35">
      <c r="A691" s="5" t="s">
        <v>335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ht="29" x14ac:dyDescent="0.35">
      <c r="A692" s="5" t="s">
        <v>337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ht="29" x14ac:dyDescent="0.35">
      <c r="A693" s="5" t="s">
        <v>367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s="5" t="s">
        <v>365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s="5" t="s">
        <v>364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s="5" t="s">
        <v>366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ht="43.5" x14ac:dyDescent="0.35">
      <c r="A697" s="5" t="s">
        <v>208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ht="58" x14ac:dyDescent="0.35">
      <c r="A698" s="5" t="s">
        <v>209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ht="29" x14ac:dyDescent="0.35">
      <c r="A699" s="5" t="s">
        <v>663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s="5" t="s">
        <v>497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s="5" t="s">
        <v>498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ht="29" x14ac:dyDescent="0.35">
      <c r="A702" s="5" t="s">
        <v>88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s="5" t="s">
        <v>684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s="5" t="s">
        <v>470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ht="29" x14ac:dyDescent="0.35">
      <c r="A705" s="5" t="s">
        <v>411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ht="29" x14ac:dyDescent="0.35">
      <c r="A706" s="5" t="s">
        <v>408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s="5" t="s">
        <v>413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ht="29" x14ac:dyDescent="0.35">
      <c r="A708" s="5" t="s">
        <v>410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s="5" t="s">
        <v>409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</sheetData>
  <conditionalFormatting sqref="A3:H13">
    <cfRule type="cellIs" dxfId="159" priority="67" operator="equal">
      <formula>0</formula>
    </cfRule>
    <cfRule type="cellIs" dxfId="158" priority="68" operator="equal">
      <formula>"U"</formula>
    </cfRule>
    <cfRule type="cellIs" dxfId="157" priority="70" operator="equal">
      <formula>"Y"</formula>
    </cfRule>
  </conditionalFormatting>
  <conditionalFormatting sqref="I3:I709 A14:A262 AJ14:XFD262">
    <cfRule type="cellIs" dxfId="156" priority="72" operator="equal">
      <formula>0</formula>
    </cfRule>
    <cfRule type="cellIs" dxfId="155" priority="73" operator="equal">
      <formula>"U"</formula>
    </cfRule>
    <cfRule type="cellIs" dxfId="154" priority="75" operator="equal">
      <formula>"Y"</formula>
    </cfRule>
  </conditionalFormatting>
  <conditionalFormatting sqref="J3:P3 N4:P26 J4:M709 B14:H709">
    <cfRule type="cellIs" dxfId="153" priority="1" operator="equal">
      <formula>1</formula>
    </cfRule>
    <cfRule type="cellIs" dxfId="152" priority="4" operator="equal">
      <formula>"N"</formula>
    </cfRule>
  </conditionalFormatting>
  <conditionalFormatting sqref="J3:XFD3 AB4:XFD13 J4:AA709 B14:H709 AB14:AI709">
    <cfRule type="cellIs" dxfId="151" priority="2" operator="equal">
      <formula>0</formula>
    </cfRule>
    <cfRule type="cellIs" dxfId="150" priority="3" operator="equal">
      <formula>"U"</formula>
    </cfRule>
    <cfRule type="cellIs" dxfId="149" priority="5" operator="equal">
      <formula>"Y"</formula>
    </cfRule>
  </conditionalFormatting>
  <conditionalFormatting sqref="Q3:Q14 I3:I709 A14:A262 AJ14:XFD262">
    <cfRule type="cellIs" dxfId="148" priority="71" operator="equal">
      <formula>1</formula>
    </cfRule>
    <cfRule type="cellIs" dxfId="147" priority="74" operator="equal">
      <formula>"N"</formula>
    </cfRule>
  </conditionalFormatting>
  <conditionalFormatting sqref="R3:XFD3 A3:H13 AB4:XFD13 R4:Z14 AA4:AA709 AB14:AI709 Q15:Z26 N27:Z709">
    <cfRule type="cellIs" dxfId="146" priority="66" operator="equal">
      <formula>1</formula>
    </cfRule>
    <cfRule type="cellIs" dxfId="145" priority="69" operator="equal">
      <formula>"N"</formula>
    </cfRule>
  </conditionalFormatting>
  <hyperlinks>
    <hyperlink ref="A1" location="TopPage!A1" display="Back to main page" xr:uid="{88E9C141-62A9-4190-872D-3C6789C08C9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0B70-6580-4B01-93DB-05F69B205D86}">
  <dimension ref="A1:AI40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3.90625" style="5" customWidth="1"/>
    <col min="2" max="35" width="11.54296875" customWidth="1"/>
  </cols>
  <sheetData>
    <row r="1" spans="1:35" ht="15" thickBot="1" x14ac:dyDescent="0.4">
      <c r="A1" s="6" t="s">
        <v>31</v>
      </c>
    </row>
    <row r="2" spans="1:35" ht="116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752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</row>
    <row r="4" spans="1:35" x14ac:dyDescent="0.35">
      <c r="A4" s="5" t="s">
        <v>753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754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755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756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757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758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 s="5" t="s">
        <v>759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760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761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s="5" t="s">
        <v>762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ht="29" x14ac:dyDescent="0.35">
      <c r="A14" s="5" t="s">
        <v>763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ht="29" x14ac:dyDescent="0.35">
      <c r="A15" s="5" t="s">
        <v>764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765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s="5" t="s">
        <v>766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s="5" t="s">
        <v>767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ht="29" x14ac:dyDescent="0.35">
      <c r="A19" s="5" t="s">
        <v>768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s="5" t="s">
        <v>769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</row>
    <row r="21" spans="1:35" x14ac:dyDescent="0.35">
      <c r="A21" s="5" t="s">
        <v>770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</row>
    <row r="22" spans="1:35" x14ac:dyDescent="0.35">
      <c r="A22" s="5" t="s">
        <v>771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</row>
    <row r="23" spans="1:35" x14ac:dyDescent="0.35">
      <c r="A23" s="5" t="s">
        <v>772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</row>
    <row r="24" spans="1:35" x14ac:dyDescent="0.35">
      <c r="A24" s="5" t="s">
        <v>773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</row>
    <row r="25" spans="1:35" ht="29" x14ac:dyDescent="0.35">
      <c r="A25" s="5" t="s">
        <v>774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</row>
    <row r="26" spans="1:35" ht="29" x14ac:dyDescent="0.35">
      <c r="A26" s="5" t="s">
        <v>775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</row>
    <row r="27" spans="1:35" x14ac:dyDescent="0.35">
      <c r="A27" s="5" t="s">
        <v>776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</row>
    <row r="28" spans="1:35" ht="29" x14ac:dyDescent="0.35">
      <c r="A28" s="5" t="s">
        <v>777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</row>
    <row r="29" spans="1:35" ht="29" x14ac:dyDescent="0.35">
      <c r="A29" s="5" t="s">
        <v>778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</row>
    <row r="30" spans="1:35" ht="29" x14ac:dyDescent="0.35">
      <c r="A30" s="5" t="s">
        <v>779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</row>
    <row r="31" spans="1:35" ht="29" x14ac:dyDescent="0.35">
      <c r="A31" s="5" t="s">
        <v>780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</row>
    <row r="32" spans="1:35" ht="29" x14ac:dyDescent="0.35">
      <c r="A32" s="5" t="s">
        <v>781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</row>
    <row r="33" spans="1:35" ht="29" x14ac:dyDescent="0.35">
      <c r="A33" s="5" t="s">
        <v>782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</row>
    <row r="34" spans="1:35" x14ac:dyDescent="0.35">
      <c r="A34" s="5" t="s">
        <v>783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</row>
    <row r="35" spans="1:35" ht="29" x14ac:dyDescent="0.35">
      <c r="A35" s="5" t="s">
        <v>784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</row>
    <row r="36" spans="1:35" ht="29" x14ac:dyDescent="0.35">
      <c r="A36" s="5" t="s">
        <v>785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</row>
    <row r="37" spans="1:35" ht="29" x14ac:dyDescent="0.35">
      <c r="A37" s="5" t="s">
        <v>786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</row>
    <row r="38" spans="1:35" ht="29" x14ac:dyDescent="0.35">
      <c r="A38" s="5" t="s">
        <v>787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s="5" t="s">
        <v>788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ht="29" x14ac:dyDescent="0.35">
      <c r="A40" s="5" t="s">
        <v>789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ht="29" x14ac:dyDescent="0.35">
      <c r="A41" s="5" t="s">
        <v>790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ht="29" x14ac:dyDescent="0.35">
      <c r="A42" s="5" t="s">
        <v>791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s="5" t="s">
        <v>792</v>
      </c>
      <c r="B43">
        <v>1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ht="29" x14ac:dyDescent="0.35">
      <c r="A44" s="5" t="s">
        <v>793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s="5" t="s">
        <v>794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s="5" t="s">
        <v>795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s="5" t="s">
        <v>796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ht="29" x14ac:dyDescent="0.35">
      <c r="A48" s="5" t="s">
        <v>797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ht="29" x14ac:dyDescent="0.35">
      <c r="A49" s="5" t="s">
        <v>798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ht="29" x14ac:dyDescent="0.35">
      <c r="A50" s="5" t="s">
        <v>799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s="5" t="s">
        <v>800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s="5" t="s">
        <v>801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ht="43.5" x14ac:dyDescent="0.35">
      <c r="A53" s="5" t="s">
        <v>802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s="5" t="s">
        <v>803</v>
      </c>
      <c r="B54">
        <v>1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ht="29" x14ac:dyDescent="0.35">
      <c r="A55" s="5" t="s">
        <v>804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ht="29" x14ac:dyDescent="0.35">
      <c r="A56" s="5" t="s">
        <v>805</v>
      </c>
      <c r="B56">
        <v>1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s="5" t="s">
        <v>806</v>
      </c>
      <c r="B57">
        <v>1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s="5" t="s">
        <v>807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ht="29" x14ac:dyDescent="0.35">
      <c r="A59" s="5" t="s">
        <v>808</v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ht="29" x14ac:dyDescent="0.35">
      <c r="A60" s="5" t="s">
        <v>809</v>
      </c>
      <c r="B60">
        <v>1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ht="29" x14ac:dyDescent="0.35">
      <c r="A61" s="5" t="s">
        <v>810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ht="29" x14ac:dyDescent="0.35">
      <c r="A62" s="5" t="s">
        <v>811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ht="29" x14ac:dyDescent="0.35">
      <c r="A63" s="5" t="s">
        <v>812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s="5" t="s">
        <v>813</v>
      </c>
      <c r="B64">
        <v>0</v>
      </c>
      <c r="C64">
        <v>1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</row>
    <row r="65" spans="1:35" x14ac:dyDescent="0.35">
      <c r="A65" s="5" t="s">
        <v>814</v>
      </c>
      <c r="B65">
        <v>0</v>
      </c>
      <c r="C65"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</row>
    <row r="66" spans="1:35" x14ac:dyDescent="0.35">
      <c r="A66" s="5" t="s">
        <v>815</v>
      </c>
      <c r="B66">
        <v>0</v>
      </c>
      <c r="C6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</row>
    <row r="67" spans="1:35" x14ac:dyDescent="0.35">
      <c r="A67" s="5" t="s">
        <v>816</v>
      </c>
      <c r="B67">
        <v>0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</row>
    <row r="68" spans="1:35" x14ac:dyDescent="0.35">
      <c r="A68" s="5" t="s">
        <v>817</v>
      </c>
      <c r="B68">
        <v>0</v>
      </c>
      <c r="C68">
        <v>1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</row>
    <row r="69" spans="1:35" x14ac:dyDescent="0.35">
      <c r="A69" s="5" t="s">
        <v>818</v>
      </c>
      <c r="B69">
        <v>0</v>
      </c>
      <c r="C69">
        <v>1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 s="5" t="s">
        <v>819</v>
      </c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</row>
    <row r="71" spans="1:35" x14ac:dyDescent="0.35">
      <c r="A71" s="5" t="s">
        <v>820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</row>
    <row r="72" spans="1:35" ht="29" x14ac:dyDescent="0.35">
      <c r="A72" s="5" t="s">
        <v>821</v>
      </c>
      <c r="B72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</row>
    <row r="73" spans="1:35" ht="29" x14ac:dyDescent="0.35">
      <c r="A73" s="5" t="s">
        <v>822</v>
      </c>
      <c r="B73">
        <v>0</v>
      </c>
      <c r="C73">
        <v>1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</row>
    <row r="74" spans="1:35" x14ac:dyDescent="0.35">
      <c r="A74" s="5" t="s">
        <v>823</v>
      </c>
      <c r="B74">
        <v>0</v>
      </c>
      <c r="C74">
        <v>1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</row>
    <row r="75" spans="1:35" ht="29" x14ac:dyDescent="0.35">
      <c r="A75" s="5" t="s">
        <v>824</v>
      </c>
      <c r="B75">
        <v>0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</row>
    <row r="76" spans="1:35" x14ac:dyDescent="0.35">
      <c r="A76" s="5" t="s">
        <v>825</v>
      </c>
      <c r="B76">
        <v>0</v>
      </c>
      <c r="C76">
        <v>1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</row>
    <row r="77" spans="1:35" ht="29" x14ac:dyDescent="0.35">
      <c r="A77" s="5" t="s">
        <v>826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</row>
    <row r="78" spans="1:35" x14ac:dyDescent="0.35">
      <c r="A78" s="5" t="s">
        <v>827</v>
      </c>
      <c r="B78">
        <v>0</v>
      </c>
      <c r="C78">
        <v>1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</row>
    <row r="79" spans="1:35" x14ac:dyDescent="0.35">
      <c r="A79" s="5" t="s">
        <v>828</v>
      </c>
      <c r="B79">
        <v>0</v>
      </c>
      <c r="C79">
        <v>1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</row>
    <row r="80" spans="1:35" x14ac:dyDescent="0.35">
      <c r="A80" s="5" t="s">
        <v>829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</row>
    <row r="81" spans="1:35" x14ac:dyDescent="0.35">
      <c r="A81" s="5" t="s">
        <v>830</v>
      </c>
      <c r="B81">
        <v>0</v>
      </c>
      <c r="C81">
        <v>1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</row>
    <row r="82" spans="1:35" x14ac:dyDescent="0.35">
      <c r="A82" s="5" t="s">
        <v>831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</row>
    <row r="83" spans="1:35" x14ac:dyDescent="0.35">
      <c r="A83" s="5" t="s">
        <v>832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</row>
    <row r="84" spans="1:35" x14ac:dyDescent="0.35">
      <c r="A84" s="5" t="s">
        <v>833</v>
      </c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</row>
    <row r="85" spans="1:35" x14ac:dyDescent="0.35">
      <c r="A85" s="5" t="s">
        <v>834</v>
      </c>
      <c r="B85">
        <v>0</v>
      </c>
      <c r="C85">
        <v>1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</row>
    <row r="86" spans="1:35" x14ac:dyDescent="0.35">
      <c r="A86" s="5" t="s">
        <v>835</v>
      </c>
      <c r="B86">
        <v>0</v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</row>
    <row r="87" spans="1:35" x14ac:dyDescent="0.35">
      <c r="A87" s="5" t="s">
        <v>836</v>
      </c>
      <c r="B87">
        <v>0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</row>
    <row r="88" spans="1:35" x14ac:dyDescent="0.35">
      <c r="A88" s="5" t="s">
        <v>837</v>
      </c>
      <c r="B88">
        <v>0</v>
      </c>
      <c r="C88">
        <v>1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</row>
    <row r="89" spans="1:35" x14ac:dyDescent="0.35">
      <c r="A89" s="5" t="s">
        <v>838</v>
      </c>
      <c r="B89">
        <v>0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</row>
    <row r="90" spans="1:35" x14ac:dyDescent="0.35">
      <c r="A90" s="5" t="s">
        <v>839</v>
      </c>
      <c r="B90">
        <v>0</v>
      </c>
      <c r="C90">
        <v>1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</row>
    <row r="91" spans="1:35" x14ac:dyDescent="0.35">
      <c r="A91" s="5" t="s">
        <v>840</v>
      </c>
      <c r="B91">
        <v>0</v>
      </c>
      <c r="C91">
        <v>1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</row>
    <row r="92" spans="1:35" ht="29" x14ac:dyDescent="0.35">
      <c r="A92" s="5" t="s">
        <v>841</v>
      </c>
      <c r="B92">
        <v>0</v>
      </c>
      <c r="C92">
        <v>1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</row>
    <row r="93" spans="1:35" ht="29" x14ac:dyDescent="0.35">
      <c r="A93" s="5" t="s">
        <v>842</v>
      </c>
      <c r="B93">
        <v>0</v>
      </c>
      <c r="C93">
        <v>1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</row>
    <row r="94" spans="1:35" x14ac:dyDescent="0.35">
      <c r="A94" s="5" t="s">
        <v>843</v>
      </c>
      <c r="B94">
        <v>0</v>
      </c>
      <c r="C94">
        <v>1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</row>
    <row r="95" spans="1:35" x14ac:dyDescent="0.35">
      <c r="A95" s="5" t="s">
        <v>844</v>
      </c>
      <c r="B95">
        <v>0</v>
      </c>
      <c r="C95">
        <v>1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</row>
    <row r="96" spans="1:35" x14ac:dyDescent="0.35">
      <c r="A96" s="5" t="s">
        <v>845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</row>
    <row r="97" spans="1:35" x14ac:dyDescent="0.35">
      <c r="A97" s="5" t="s">
        <v>846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</row>
    <row r="98" spans="1:35" ht="29" x14ac:dyDescent="0.35">
      <c r="A98" s="5" t="s">
        <v>847</v>
      </c>
      <c r="B98">
        <v>0</v>
      </c>
      <c r="C98">
        <v>1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</row>
    <row r="99" spans="1:35" ht="29" x14ac:dyDescent="0.35">
      <c r="A99" s="5" t="s">
        <v>848</v>
      </c>
      <c r="B99">
        <v>0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</row>
    <row r="100" spans="1:35" x14ac:dyDescent="0.35">
      <c r="A100" s="5" t="s">
        <v>849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</row>
    <row r="101" spans="1:35" x14ac:dyDescent="0.35">
      <c r="A101" s="5" t="s">
        <v>850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</row>
    <row r="102" spans="1:35" x14ac:dyDescent="0.35">
      <c r="A102" s="5" t="s">
        <v>851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</row>
    <row r="103" spans="1:35" x14ac:dyDescent="0.35">
      <c r="A103" s="5" t="s">
        <v>852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 s="5" t="s">
        <v>853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</row>
    <row r="105" spans="1:35" x14ac:dyDescent="0.35">
      <c r="A105" s="5" t="s">
        <v>854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</row>
    <row r="106" spans="1:35" x14ac:dyDescent="0.35">
      <c r="A106" s="5" t="s">
        <v>855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 s="5" t="s">
        <v>856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</row>
    <row r="108" spans="1:35" x14ac:dyDescent="0.35">
      <c r="A108" s="5" t="s">
        <v>857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</row>
    <row r="109" spans="1:35" x14ac:dyDescent="0.35">
      <c r="A109" s="5" t="s">
        <v>858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</row>
    <row r="110" spans="1:35" x14ac:dyDescent="0.35">
      <c r="A110" s="5" t="s">
        <v>859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</row>
    <row r="111" spans="1:35" ht="29" x14ac:dyDescent="0.35">
      <c r="A111" s="5" t="s">
        <v>860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</row>
    <row r="112" spans="1:35" ht="29" x14ac:dyDescent="0.35">
      <c r="A112" s="5" t="s">
        <v>861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</row>
    <row r="113" spans="1:35" x14ac:dyDescent="0.35">
      <c r="A113" s="5" t="s">
        <v>862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</row>
    <row r="114" spans="1:35" x14ac:dyDescent="0.35">
      <c r="A114" s="5" t="s">
        <v>863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</row>
    <row r="115" spans="1:35" x14ac:dyDescent="0.35">
      <c r="A115" s="5" t="s">
        <v>864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</row>
    <row r="116" spans="1:35" x14ac:dyDescent="0.35">
      <c r="A116" s="5" t="s">
        <v>865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 s="5" t="s">
        <v>866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</row>
    <row r="118" spans="1:35" x14ac:dyDescent="0.35">
      <c r="A118" s="5" t="s">
        <v>867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</row>
    <row r="119" spans="1:35" x14ac:dyDescent="0.35">
      <c r="A119" s="5" t="s">
        <v>868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</row>
    <row r="120" spans="1:35" x14ac:dyDescent="0.35">
      <c r="A120" s="5" t="s">
        <v>869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 s="5" t="s">
        <v>870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</row>
    <row r="122" spans="1:35" x14ac:dyDescent="0.35">
      <c r="A122" s="5" t="s">
        <v>871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</row>
    <row r="123" spans="1:35" x14ac:dyDescent="0.35">
      <c r="A123" s="5" t="s">
        <v>872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</row>
    <row r="124" spans="1:35" x14ac:dyDescent="0.35">
      <c r="A124" s="5" t="s">
        <v>873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</row>
    <row r="125" spans="1:35" x14ac:dyDescent="0.35">
      <c r="A125" s="5" t="s">
        <v>874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s="5" t="s">
        <v>875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s="5" t="s">
        <v>876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ht="29" x14ac:dyDescent="0.35">
      <c r="A128" s="5" t="s">
        <v>877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ht="29" x14ac:dyDescent="0.35">
      <c r="A129" s="5" t="s">
        <v>878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ht="29" x14ac:dyDescent="0.35">
      <c r="A130" s="5" t="s">
        <v>879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ht="29" x14ac:dyDescent="0.35">
      <c r="A131" s="5" t="s">
        <v>880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s="5" t="s">
        <v>881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s="5" t="s">
        <v>882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ht="43.5" x14ac:dyDescent="0.35">
      <c r="A134" s="5" t="s">
        <v>883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s="5" t="s">
        <v>884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s="5" t="s">
        <v>885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s="5" t="s">
        <v>886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s="5" t="s">
        <v>887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s="5" t="s">
        <v>888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s="5" t="s">
        <v>889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s="5" t="s">
        <v>890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s="5" t="s">
        <v>891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s="5" t="s">
        <v>892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s="5" t="s">
        <v>893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s="5" t="s">
        <v>894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ht="29" x14ac:dyDescent="0.35">
      <c r="A146" s="5" t="s">
        <v>895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s="5" t="s">
        <v>896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s="5" t="s">
        <v>897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s="5" t="s">
        <v>898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s="5" t="s">
        <v>899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s="5" t="s">
        <v>900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ht="29" x14ac:dyDescent="0.35">
      <c r="A152" s="5" t="s">
        <v>901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s="5" t="s">
        <v>902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s="5" t="s">
        <v>903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s="5" t="s">
        <v>904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ht="29" x14ac:dyDescent="0.35">
      <c r="A156" s="5" t="s">
        <v>905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s="5" t="s">
        <v>906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s="5" t="s">
        <v>907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s="5" t="s">
        <v>908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ht="29" x14ac:dyDescent="0.35">
      <c r="A160" s="5" t="s">
        <v>909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s="5" t="s">
        <v>910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s="5" t="s">
        <v>911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s="5" t="s">
        <v>912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ht="29" x14ac:dyDescent="0.35">
      <c r="A164" s="5" t="s">
        <v>913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s="5" t="s">
        <v>914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s="5" t="s">
        <v>915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ht="29" x14ac:dyDescent="0.35">
      <c r="A167" s="5" t="s">
        <v>916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s="5" t="s">
        <v>917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ht="29" x14ac:dyDescent="0.35">
      <c r="A169" s="5" t="s">
        <v>918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ht="29" x14ac:dyDescent="0.35">
      <c r="A170" s="5" t="s">
        <v>919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s="5" t="s">
        <v>920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s="5" t="s">
        <v>921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s="5" t="s">
        <v>922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s="5" t="s">
        <v>923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ht="29" x14ac:dyDescent="0.35">
      <c r="A175" s="5" t="s">
        <v>924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ht="29" x14ac:dyDescent="0.35">
      <c r="A176" s="5" t="s">
        <v>925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ht="29" x14ac:dyDescent="0.35">
      <c r="A177" s="5" t="s">
        <v>926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s="5" t="s">
        <v>927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ht="29" x14ac:dyDescent="0.35">
      <c r="A179" s="5" t="s">
        <v>928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s="5" t="s">
        <v>929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s="5" t="s">
        <v>930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s="5" t="s">
        <v>931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s="5" t="s">
        <v>932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ht="29" x14ac:dyDescent="0.35">
      <c r="A184" s="5" t="s">
        <v>933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s="5" t="s">
        <v>934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s="5" t="s">
        <v>935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ht="29" x14ac:dyDescent="0.35">
      <c r="A187" s="5" t="s">
        <v>936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ht="29" x14ac:dyDescent="0.35">
      <c r="A188" s="5" t="s">
        <v>937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s="5" t="s">
        <v>938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ht="29" x14ac:dyDescent="0.35">
      <c r="A190" s="5" t="s">
        <v>939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s="5" t="s">
        <v>940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s="5" t="s">
        <v>941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s="5" t="s">
        <v>942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s="5" t="s">
        <v>943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s="5" t="s">
        <v>944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s="5" t="s">
        <v>945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s="5" t="s">
        <v>946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s="5" t="s">
        <v>947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s="5" t="s">
        <v>948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s="5" t="s">
        <v>949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ht="29" x14ac:dyDescent="0.35">
      <c r="A201" s="5" t="s">
        <v>950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ht="43.5" x14ac:dyDescent="0.35">
      <c r="A202" s="5" t="s">
        <v>951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ht="29" x14ac:dyDescent="0.35">
      <c r="A203" s="5" t="s">
        <v>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ht="43.5" x14ac:dyDescent="0.35">
      <c r="A204" s="5" t="s">
        <v>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ht="29" x14ac:dyDescent="0.35">
      <c r="A205" s="5" t="s">
        <v>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ht="43.5" x14ac:dyDescent="0.35">
      <c r="A206" s="5" t="s">
        <v>955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ht="43.5" x14ac:dyDescent="0.35">
      <c r="A207" s="5" t="s">
        <v>956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ht="29" x14ac:dyDescent="0.35">
      <c r="A208" s="5" t="s">
        <v>957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s="5" t="s">
        <v>958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s="5" t="s">
        <v>959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s="5" t="s">
        <v>960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s="5" t="s">
        <v>961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s="5" t="s">
        <v>962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s="5" t="s">
        <v>963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s="5" t="s">
        <v>964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s="5" t="s">
        <v>965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s="5" t="s">
        <v>966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ht="29" x14ac:dyDescent="0.35">
      <c r="A218" s="5" t="s">
        <v>967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s="5" t="s">
        <v>968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s="5" t="s">
        <v>969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s="5" t="s">
        <v>970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s="5" t="s">
        <v>971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s="5" t="s">
        <v>972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s="5" t="s">
        <v>973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s="5" t="s">
        <v>974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s="5" t="s">
        <v>975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s="5" t="s">
        <v>976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s="5" t="s">
        <v>977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ht="29" x14ac:dyDescent="0.35">
      <c r="A229" s="5" t="s">
        <v>978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ht="29" x14ac:dyDescent="0.35">
      <c r="A230" s="5" t="s">
        <v>979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s="5" t="s">
        <v>980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s="5" t="s">
        <v>981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s="5" t="s">
        <v>982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s="5" t="s">
        <v>983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s="5" t="s">
        <v>984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s="5" t="s">
        <v>985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s="5" t="s">
        <v>986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s="5" t="s">
        <v>987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ht="29" x14ac:dyDescent="0.35">
      <c r="A239" s="5" t="s">
        <v>988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s="5" t="s">
        <v>989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s="5" t="s">
        <v>990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s="5" t="s">
        <v>991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s="5" t="s">
        <v>992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s="5" t="s">
        <v>993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ht="29" x14ac:dyDescent="0.35">
      <c r="A245" s="5" t="s">
        <v>994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s="5" t="s">
        <v>995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s="5" t="s">
        <v>996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s="5" t="s">
        <v>997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s="5" t="s">
        <v>998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s="5" t="s">
        <v>999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s="5" t="s">
        <v>1000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s="5" t="s">
        <v>1001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s="5" t="s">
        <v>1002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s="5" t="s">
        <v>1003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s="5" t="s">
        <v>1004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s="5" t="s">
        <v>1005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s="5" t="s">
        <v>1006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s="5" t="s">
        <v>1007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s="5" t="s">
        <v>1008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s="5" t="s">
        <v>1009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s="5" t="s">
        <v>1010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s="5" t="s">
        <v>1011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s="5" t="s">
        <v>1012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s="5" t="s">
        <v>1013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s="5" t="s">
        <v>1014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ht="29" x14ac:dyDescent="0.35">
      <c r="A266" s="5" t="s">
        <v>1015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s="5" t="s">
        <v>1016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s="5" t="s">
        <v>1017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s="5" t="s">
        <v>1018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s="5" t="s">
        <v>1019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s="5" t="s">
        <v>1020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s="5" t="s">
        <v>1021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s="5" t="s">
        <v>1022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s="5" t="s">
        <v>1023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s="5" t="s">
        <v>1024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s="5" t="s">
        <v>1025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s="5" t="s">
        <v>1026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s="5" t="s">
        <v>1027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s="5" t="s">
        <v>1028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ht="29" x14ac:dyDescent="0.35">
      <c r="A280" s="5" t="s">
        <v>1029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s="5" t="s">
        <v>1030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s="5" t="s">
        <v>1031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s="5" t="s">
        <v>1032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s="5" t="s">
        <v>1033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s="5" t="s">
        <v>1034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s="5" t="s">
        <v>1035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ht="29" x14ac:dyDescent="0.35">
      <c r="A287" s="5" t="s">
        <v>1036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s="5" t="s">
        <v>1037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s="5" t="s">
        <v>1038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s="5" t="s">
        <v>1039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s="5" t="s">
        <v>1040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ht="29" x14ac:dyDescent="0.35">
      <c r="A292" s="5" t="s">
        <v>1041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ht="29" x14ac:dyDescent="0.35">
      <c r="A293" s="5" t="s">
        <v>1042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s="5" t="s">
        <v>1043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s="5" t="s">
        <v>1044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s="5" t="s">
        <v>1045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s="5" t="s">
        <v>1046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s="5" t="s">
        <v>1047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ht="29" x14ac:dyDescent="0.35">
      <c r="A299" s="5" t="s">
        <v>1048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s="5" t="s">
        <v>1049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s="5" t="s">
        <v>1050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s="5" t="s">
        <v>1051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s="5" t="s">
        <v>1052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ht="29" x14ac:dyDescent="0.35">
      <c r="A304" s="5" t="s">
        <v>1053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s="5" t="s">
        <v>1054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s="5" t="s">
        <v>1055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s="5" t="s">
        <v>1056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s="5" t="s">
        <v>1057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ht="29" x14ac:dyDescent="0.35">
      <c r="A309" s="5" t="s">
        <v>1058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s="5" t="s">
        <v>1059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s="5" t="s">
        <v>1060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s="5" t="s">
        <v>1061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ht="29" x14ac:dyDescent="0.35">
      <c r="A313" s="5" t="s">
        <v>1062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s="5" t="s">
        <v>1063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s="5" t="s">
        <v>1064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s="5" t="s">
        <v>1065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s="5" t="s">
        <v>1066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ht="29" x14ac:dyDescent="0.35">
      <c r="A318" s="5" t="s">
        <v>1067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s="5" t="s">
        <v>1068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s="5" t="s">
        <v>1069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ht="29" x14ac:dyDescent="0.35">
      <c r="A321" s="5" t="s">
        <v>1070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s="5" t="s">
        <v>1071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s="5" t="s">
        <v>1072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s="5" t="s">
        <v>1073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ht="29" x14ac:dyDescent="0.35">
      <c r="A325" s="5" t="s">
        <v>1074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s="5" t="s">
        <v>1075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s="5" t="s">
        <v>1076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ht="29" x14ac:dyDescent="0.35">
      <c r="A328" s="5" t="s">
        <v>1077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ht="29" x14ac:dyDescent="0.35">
      <c r="A329" s="5" t="s">
        <v>1078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s="5" t="s">
        <v>1079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ht="29" x14ac:dyDescent="0.35">
      <c r="A331" s="5" t="s">
        <v>1080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s="5" t="s">
        <v>1081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s="5" t="s">
        <v>1082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s="5" t="s">
        <v>1083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s="5" t="s">
        <v>1084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s="5" t="s">
        <v>1085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s="5" t="s">
        <v>1086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s="5" t="s">
        <v>1087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s="5" t="s">
        <v>1088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s="5" t="s">
        <v>1089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s="5" t="s">
        <v>1090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s="5" t="s">
        <v>1091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s="5" t="s">
        <v>1092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s="5" t="s">
        <v>1093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s="5" t="s">
        <v>1094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s="5" t="s">
        <v>1095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s="5" t="s">
        <v>1096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s="5" t="s">
        <v>1097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ht="29" x14ac:dyDescent="0.35">
      <c r="A349" s="5" t="s">
        <v>1098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s="5" t="s">
        <v>1099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s="5" t="s">
        <v>1100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s="5" t="s">
        <v>1101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s="5" t="s">
        <v>1102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s="5" t="s">
        <v>1103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s="5" t="s">
        <v>1104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s="5" t="s">
        <v>1105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s="5" t="s">
        <v>1106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ht="29" x14ac:dyDescent="0.35">
      <c r="A358" s="5" t="s">
        <v>1107</v>
      </c>
      <c r="B358">
        <v>1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s="5" t="s">
        <v>1108</v>
      </c>
      <c r="B359">
        <v>1</v>
      </c>
      <c r="C359">
        <v>0</v>
      </c>
      <c r="D359">
        <v>0</v>
      </c>
      <c r="E359">
        <v>1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s="5" t="s">
        <v>1109</v>
      </c>
      <c r="B360">
        <v>1</v>
      </c>
      <c r="C360">
        <v>0</v>
      </c>
      <c r="D360">
        <v>0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ht="29" x14ac:dyDescent="0.35">
      <c r="A361" s="5" t="s">
        <v>1110</v>
      </c>
      <c r="B361">
        <v>1</v>
      </c>
      <c r="C361">
        <v>0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ht="29" x14ac:dyDescent="0.35">
      <c r="A362" s="5" t="s">
        <v>1111</v>
      </c>
      <c r="B362">
        <v>1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ht="29" x14ac:dyDescent="0.35">
      <c r="A363" s="5" t="s">
        <v>1112</v>
      </c>
      <c r="B363">
        <v>1</v>
      </c>
      <c r="C363">
        <v>0</v>
      </c>
      <c r="D363">
        <v>0</v>
      </c>
      <c r="E363">
        <v>1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ht="29" x14ac:dyDescent="0.35">
      <c r="A364" s="5" t="s">
        <v>1113</v>
      </c>
      <c r="B364">
        <v>1</v>
      </c>
      <c r="C364">
        <v>0</v>
      </c>
      <c r="D364">
        <v>0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ht="29" x14ac:dyDescent="0.35">
      <c r="A365" s="5" t="s">
        <v>1114</v>
      </c>
      <c r="B365">
        <v>1</v>
      </c>
      <c r="C365">
        <v>0</v>
      </c>
      <c r="D365">
        <v>0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ht="29" x14ac:dyDescent="0.35">
      <c r="A366" s="5" t="s">
        <v>1115</v>
      </c>
      <c r="B366">
        <v>1</v>
      </c>
      <c r="C366">
        <v>0</v>
      </c>
      <c r="D366">
        <v>0</v>
      </c>
      <c r="E366">
        <v>1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s="5" t="s">
        <v>1116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s="5" t="s">
        <v>1117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s="5" t="s">
        <v>1118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s="5" t="s">
        <v>1119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s="5" t="s">
        <v>1120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s="5" t="s">
        <v>1121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s="5" t="s">
        <v>1122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s="5" t="s">
        <v>1123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s="5" t="s">
        <v>1124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s="5" t="s">
        <v>1125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s="5" t="s">
        <v>1126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s="5" t="s">
        <v>1127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ht="29" x14ac:dyDescent="0.35">
      <c r="A379" s="5" t="s">
        <v>1128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s="5" t="s">
        <v>1129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ht="29" x14ac:dyDescent="0.35">
      <c r="A381" s="5" t="s">
        <v>1130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s="5" t="s">
        <v>1131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ht="43.5" x14ac:dyDescent="0.35">
      <c r="A383" s="5" t="s">
        <v>1132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s="5" t="s">
        <v>1133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s="5" t="s">
        <v>1134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s="5" t="s">
        <v>1135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s="5" t="s">
        <v>1136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s="5" t="s">
        <v>1137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s="5" t="s">
        <v>1138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s="5" t="s">
        <v>1139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s="5" t="s">
        <v>1140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s="5" t="s">
        <v>1141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s="5" t="s">
        <v>1142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s="5" t="s">
        <v>1143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s="5" t="s">
        <v>1144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s="5" t="s">
        <v>1145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s="5" t="s">
        <v>1146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s="5" t="s">
        <v>1147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s="5" t="s">
        <v>1148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s="5" t="s">
        <v>1149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s="5" t="s">
        <v>1150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s="5" t="s">
        <v>1151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s="5" t="s">
        <v>1152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s="5" t="s">
        <v>1153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s="5" t="s">
        <v>1154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s="5" t="s">
        <v>1155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</sheetData>
  <conditionalFormatting sqref="Q3:Q406 A14:A262 AJ14:XFD262 B14:P406 AJ263:KJ406">
    <cfRule type="cellIs" dxfId="144" priority="6" operator="equal">
      <formula>1</formula>
    </cfRule>
    <cfRule type="cellIs" dxfId="143" priority="7" operator="equal">
      <formula>0</formula>
    </cfRule>
    <cfRule type="cellIs" dxfId="142" priority="8" operator="equal">
      <formula>"U"</formula>
    </cfRule>
    <cfRule type="cellIs" dxfId="141" priority="9" operator="equal">
      <formula>"N"</formula>
    </cfRule>
    <cfRule type="cellIs" dxfId="140" priority="10" operator="equal">
      <formula>"Y"</formula>
    </cfRule>
  </conditionalFormatting>
  <conditionalFormatting sqref="R3:XFD3 A3:P13 AB4:XFD13 R4:AA406 AB14:AI406 B407:KJ462">
    <cfRule type="cellIs" dxfId="139" priority="1" operator="equal">
      <formula>1</formula>
    </cfRule>
    <cfRule type="cellIs" dxfId="138" priority="2" operator="equal">
      <formula>0</formula>
    </cfRule>
    <cfRule type="cellIs" dxfId="137" priority="3" operator="equal">
      <formula>"U"</formula>
    </cfRule>
    <cfRule type="cellIs" dxfId="136" priority="4" operator="equal">
      <formula>"N"</formula>
    </cfRule>
    <cfRule type="cellIs" dxfId="135" priority="5" operator="equal">
      <formula>"Y"</formula>
    </cfRule>
  </conditionalFormatting>
  <hyperlinks>
    <hyperlink ref="A1" location="TopPage!A1" display="Back to main page" xr:uid="{5117ABA0-B1BF-4D6B-A6DA-336D2BCE0C2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1F6D-1991-4F54-B9D3-F5F041D6BD2F}">
  <dimension ref="A1:AI32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5.453125" style="5" customWidth="1"/>
    <col min="2" max="35" width="12.08984375" customWidth="1"/>
  </cols>
  <sheetData>
    <row r="1" spans="1:35" ht="15" thickBot="1" x14ac:dyDescent="0.4">
      <c r="A1" s="6" t="s">
        <v>31</v>
      </c>
    </row>
    <row r="2" spans="1:35" ht="116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ht="29" x14ac:dyDescent="0.35">
      <c r="A3" s="5" t="s">
        <v>1156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ht="29" x14ac:dyDescent="0.35">
      <c r="A4" s="5" t="s">
        <v>1157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1158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1159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1160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1161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1162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1163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ht="29" x14ac:dyDescent="0.35">
      <c r="A11" s="5" t="s">
        <v>1164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1165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s="5" t="s">
        <v>1166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s="5" t="s">
        <v>1167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ht="29" x14ac:dyDescent="0.35">
      <c r="A15" s="5" t="s">
        <v>1168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1169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s="5" t="s">
        <v>1170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ht="29" x14ac:dyDescent="0.35">
      <c r="A18" s="5" t="s">
        <v>1171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ht="43.5" x14ac:dyDescent="0.35">
      <c r="A19" s="5" t="s">
        <v>1172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ht="29" x14ac:dyDescent="0.35">
      <c r="A20" s="5" t="s">
        <v>1173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ht="29" x14ac:dyDescent="0.35">
      <c r="A21" s="5" t="s">
        <v>1174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s="5" t="s">
        <v>1175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s="5" t="s">
        <v>1176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s="5" t="s">
        <v>1177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s="5" t="s">
        <v>1178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s="5" t="s">
        <v>1179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s="5" t="s">
        <v>1180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s="5" t="s">
        <v>1181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s="5" t="s">
        <v>1182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ht="29" x14ac:dyDescent="0.35">
      <c r="A30" s="5" t="s">
        <v>1183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ht="29" x14ac:dyDescent="0.35">
      <c r="A31" s="5" t="s">
        <v>1184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ht="29" x14ac:dyDescent="0.35">
      <c r="A32" s="5" t="s">
        <v>1185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ht="29" x14ac:dyDescent="0.35">
      <c r="A33" s="5" t="s">
        <v>1186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ht="29" x14ac:dyDescent="0.35">
      <c r="A34" s="5" t="s">
        <v>1187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s="5" t="s">
        <v>1188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ht="29" x14ac:dyDescent="0.35">
      <c r="A36" s="5" t="s">
        <v>1189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s="5" t="s">
        <v>1190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ht="29" x14ac:dyDescent="0.35">
      <c r="A38" s="5" t="s">
        <v>1191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ht="29" x14ac:dyDescent="0.35">
      <c r="A39" s="5" t="s">
        <v>1192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s="5" t="s">
        <v>1193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ht="29" x14ac:dyDescent="0.35">
      <c r="A41" s="5" t="s">
        <v>1194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ht="29" x14ac:dyDescent="0.35">
      <c r="A42" s="5" t="s">
        <v>1195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s="5" t="s">
        <v>1196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ht="29" x14ac:dyDescent="0.35">
      <c r="A44" s="5" t="s">
        <v>1197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s="5" t="s">
        <v>1198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s="5" t="s">
        <v>1199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s="5" t="s">
        <v>1200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s="5" t="s">
        <v>1201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s="5" t="s">
        <v>1202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ht="29" x14ac:dyDescent="0.35">
      <c r="A50" s="5" t="s">
        <v>1203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ht="29" x14ac:dyDescent="0.35">
      <c r="A51" s="5" t="s">
        <v>1204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s="5" t="s">
        <v>1205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ht="29" x14ac:dyDescent="0.35">
      <c r="A53" s="5" t="s">
        <v>1206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s="5" t="s">
        <v>1207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s="5" t="s">
        <v>1208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ht="29" x14ac:dyDescent="0.35">
      <c r="A56" s="5" t="s">
        <v>1209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ht="29" x14ac:dyDescent="0.35">
      <c r="A57" s="5" t="s">
        <v>1210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ht="29" x14ac:dyDescent="0.35">
      <c r="A58" s="5" t="s">
        <v>1211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ht="29" x14ac:dyDescent="0.35">
      <c r="A59" s="5" t="s">
        <v>1212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ht="29" x14ac:dyDescent="0.35">
      <c r="A60" s="5" t="s">
        <v>1213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ht="29" x14ac:dyDescent="0.35">
      <c r="A61" s="5" t="s">
        <v>1214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s="5" t="s">
        <v>1215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s="5" t="s">
        <v>1216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ht="29" x14ac:dyDescent="0.35">
      <c r="A64" s="5" t="s">
        <v>1217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s="5" t="s">
        <v>1218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ht="29" x14ac:dyDescent="0.35">
      <c r="A66" s="5" t="s">
        <v>1219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s="5" t="s">
        <v>1220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ht="29" x14ac:dyDescent="0.35">
      <c r="A68" s="5" t="s">
        <v>1221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ht="29" x14ac:dyDescent="0.35">
      <c r="A69" s="5" t="s">
        <v>1222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s="5" t="s">
        <v>1223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s="5" t="s">
        <v>1224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ht="29" x14ac:dyDescent="0.35">
      <c r="A72" s="5" t="s">
        <v>1225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s="5" t="s">
        <v>1226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s="5" t="s">
        <v>1227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ht="29" x14ac:dyDescent="0.35">
      <c r="A75" s="5" t="s">
        <v>1228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s="5" t="s">
        <v>1229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s="5" t="s">
        <v>1230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s="5" t="s">
        <v>1231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s="5" t="s">
        <v>1232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s="5" t="s">
        <v>1233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s="5" t="s">
        <v>1234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s="5" t="s">
        <v>1235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s="5" t="s">
        <v>1236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ht="29" x14ac:dyDescent="0.35">
      <c r="A84" s="5" t="s">
        <v>1237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ht="29" x14ac:dyDescent="0.35">
      <c r="A85" s="5" t="s">
        <v>1238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s="5" t="s">
        <v>1239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s="5" t="s">
        <v>1240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s="5" t="s">
        <v>1241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s="5" t="s">
        <v>1242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s="5" t="s">
        <v>1243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s="5" t="s">
        <v>1244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s="5" t="s">
        <v>1245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ht="29" x14ac:dyDescent="0.35">
      <c r="A93" s="5" t="s">
        <v>1246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s="5" t="s">
        <v>1247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s="5" t="s">
        <v>1248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s="5" t="s">
        <v>1249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s="5" t="s">
        <v>1250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s="5" t="s">
        <v>1251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s="5" t="s">
        <v>1252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s="5" t="s">
        <v>1253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s="5" t="s">
        <v>1254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s="5" t="s">
        <v>1255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s="5" t="s">
        <v>1256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s="5" t="s">
        <v>1257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s="5" t="s">
        <v>1258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s="5" t="s">
        <v>1259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s="5" t="s">
        <v>1260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s="5" t="s">
        <v>1261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s="5" t="s">
        <v>1262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s="5" t="s">
        <v>1263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s="5" t="s">
        <v>1264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ht="29" x14ac:dyDescent="0.35">
      <c r="A112" s="5" t="s">
        <v>1265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ht="29" x14ac:dyDescent="0.35">
      <c r="A113" s="5" t="s">
        <v>1266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s="5" t="s">
        <v>1267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s="5" t="s">
        <v>1268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s="5" t="s">
        <v>1269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ht="29" x14ac:dyDescent="0.35">
      <c r="A117" s="5" t="s">
        <v>1270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s="5" t="s">
        <v>1271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s="5" t="s">
        <v>1272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s="5" t="s">
        <v>1273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ht="43.5" x14ac:dyDescent="0.35">
      <c r="A121" s="5" t="s">
        <v>1274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s="5" t="s">
        <v>1275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s="5" t="s">
        <v>1276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s="5" t="s">
        <v>1277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s="5" t="s">
        <v>1278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s="5" t="s">
        <v>1279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s="5" t="s">
        <v>1280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s="5" t="s">
        <v>1281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s="5" t="s">
        <v>1282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ht="29" x14ac:dyDescent="0.35">
      <c r="A130" s="5" t="s">
        <v>1283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s="5" t="s">
        <v>1284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s="5" t="s">
        <v>1285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ht="29" x14ac:dyDescent="0.35">
      <c r="A133" s="5" t="s">
        <v>1286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s="5" t="s">
        <v>1287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s="5" t="s">
        <v>1288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s="5" t="s">
        <v>1289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s="5" t="s">
        <v>1290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s="5" t="s">
        <v>1291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s="5" t="s">
        <v>1292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s="5" t="s">
        <v>1293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ht="29" x14ac:dyDescent="0.35">
      <c r="A141" s="5" t="s">
        <v>1294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s="5" t="s">
        <v>1295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s="5" t="s">
        <v>1296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s="5" t="s">
        <v>1297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s="5" t="s">
        <v>1298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s="5" t="s">
        <v>1299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s="5" t="s">
        <v>1300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s="5" t="s">
        <v>1301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s="5" t="s">
        <v>1302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s="5" t="s">
        <v>1303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s="5" t="s">
        <v>1304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s="5" t="s">
        <v>1305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s="5" t="s">
        <v>1306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s="5" t="s">
        <v>1307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s="5" t="s">
        <v>1308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s="5" t="s">
        <v>1309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s="5" t="s">
        <v>1310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s="5" t="s">
        <v>1311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ht="29" x14ac:dyDescent="0.35">
      <c r="A159" s="5" t="s">
        <v>1312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s="5" t="s">
        <v>1313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s="5" t="s">
        <v>1314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s="5" t="s">
        <v>1315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ht="29" x14ac:dyDescent="0.35">
      <c r="A163" s="5" t="s">
        <v>1316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ht="29" x14ac:dyDescent="0.35">
      <c r="A164" s="5" t="s">
        <v>1317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ht="29" x14ac:dyDescent="0.35">
      <c r="A165" s="5" t="s">
        <v>1318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ht="29" x14ac:dyDescent="0.35">
      <c r="A166" s="5" t="s">
        <v>1319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s="5" t="s">
        <v>1320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ht="29" x14ac:dyDescent="0.35">
      <c r="A168" s="5" t="s">
        <v>1321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ht="29" x14ac:dyDescent="0.35">
      <c r="A169" s="5" t="s">
        <v>1322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ht="29" x14ac:dyDescent="0.35">
      <c r="A170" s="5" t="s">
        <v>1323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ht="29" x14ac:dyDescent="0.35">
      <c r="A171" s="5" t="s">
        <v>1324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s="5" t="s">
        <v>1325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s="5" t="s">
        <v>1326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s="5" t="s">
        <v>1327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s="5" t="s">
        <v>1328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s="5" t="s">
        <v>1329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s="5" t="s">
        <v>1330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s="5" t="s">
        <v>1331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s="5" t="s">
        <v>1332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s="5" t="s">
        <v>1333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s="5" t="s">
        <v>1334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s="5" t="s">
        <v>1335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ht="29" x14ac:dyDescent="0.35">
      <c r="A183" s="5" t="s">
        <v>1336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s="5" t="s">
        <v>1337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s="5" t="s">
        <v>1338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s="5" t="s">
        <v>1339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s="5" t="s">
        <v>1340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ht="29" x14ac:dyDescent="0.35">
      <c r="A188" s="5" t="s">
        <v>1341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s="5" t="s">
        <v>1342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s="5" t="s">
        <v>1343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s="5" t="s">
        <v>1344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s="5" t="s">
        <v>1345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ht="29" x14ac:dyDescent="0.35">
      <c r="A193" s="5" t="s">
        <v>1346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ht="29" x14ac:dyDescent="0.35">
      <c r="A194" s="5" t="s">
        <v>1347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ht="29" x14ac:dyDescent="0.35">
      <c r="A195" s="5" t="s">
        <v>1348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s="5" t="s">
        <v>1349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s="5" t="s">
        <v>1350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s="5" t="s">
        <v>1351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s="5" t="s">
        <v>1352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s="5" t="s">
        <v>1353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s="5" t="s">
        <v>1354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ht="29" x14ac:dyDescent="0.35">
      <c r="A202" s="5" t="s">
        <v>1355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s="5" t="s">
        <v>1356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s="5" t="s">
        <v>1357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s="5" t="s">
        <v>1358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s="5" t="s">
        <v>1359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s="5" t="s">
        <v>1360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s="5" t="s">
        <v>1361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ht="29" x14ac:dyDescent="0.35">
      <c r="A209" s="5" t="s">
        <v>1362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s="5" t="s">
        <v>1363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ht="29" x14ac:dyDescent="0.35">
      <c r="A211" s="5" t="s">
        <v>1364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ht="29" x14ac:dyDescent="0.35">
      <c r="A212" s="5" t="s">
        <v>1365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ht="29" x14ac:dyDescent="0.35">
      <c r="A213" s="5" t="s">
        <v>1366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ht="29" x14ac:dyDescent="0.35">
      <c r="A214" s="5" t="s">
        <v>1367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ht="29" x14ac:dyDescent="0.35">
      <c r="A215" s="5" t="s">
        <v>1368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ht="29" x14ac:dyDescent="0.35">
      <c r="A216" s="5" t="s">
        <v>1369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s="5" t="s">
        <v>1370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s="5" t="s">
        <v>1371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ht="29" x14ac:dyDescent="0.35">
      <c r="A219" s="5" t="s">
        <v>1372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ht="29" x14ac:dyDescent="0.35">
      <c r="A220" s="5" t="s">
        <v>1373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s="5" t="s">
        <v>1374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ht="29" x14ac:dyDescent="0.35">
      <c r="A222" s="5" t="s">
        <v>1375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ht="29" x14ac:dyDescent="0.35">
      <c r="A223" s="5" t="s">
        <v>1376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ht="29" x14ac:dyDescent="0.35">
      <c r="A224" s="5" t="s">
        <v>1377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ht="29" x14ac:dyDescent="0.35">
      <c r="A225" s="5" t="s">
        <v>1378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ht="29" x14ac:dyDescent="0.35">
      <c r="A226" s="5" t="s">
        <v>1379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ht="29" x14ac:dyDescent="0.35">
      <c r="A227" s="5" t="s">
        <v>1380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ht="29" x14ac:dyDescent="0.35">
      <c r="A228" s="5" t="s">
        <v>1381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ht="29" x14ac:dyDescent="0.35">
      <c r="A229" s="5" t="s">
        <v>1382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ht="29" x14ac:dyDescent="0.35">
      <c r="A230" s="5" t="s">
        <v>1383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s="5" t="s">
        <v>1384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s="5" t="s">
        <v>1385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s="5" t="s">
        <v>1386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s="5" t="s">
        <v>1387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s="5" t="s">
        <v>1388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s="5" t="s">
        <v>1389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ht="29" x14ac:dyDescent="0.35">
      <c r="A237" s="5" t="s">
        <v>2634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s="5" t="s">
        <v>1390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s="5" t="s">
        <v>1391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s="5" t="s">
        <v>1392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ht="29" x14ac:dyDescent="0.35">
      <c r="A241" s="5" t="s">
        <v>1393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ht="29" x14ac:dyDescent="0.35">
      <c r="A242" s="5" t="s">
        <v>1394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s="5" t="s">
        <v>1395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ht="29" x14ac:dyDescent="0.35">
      <c r="A244" s="5" t="s">
        <v>1396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ht="43.5" x14ac:dyDescent="0.35">
      <c r="A245" s="5" t="s">
        <v>1397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s="5" t="s">
        <v>1398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s="5" t="s">
        <v>1399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s="5" t="s">
        <v>1400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s="5" t="s">
        <v>1401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ht="29" x14ac:dyDescent="0.35">
      <c r="A250" s="5" t="s">
        <v>1402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s="5" t="s">
        <v>1403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ht="29" x14ac:dyDescent="0.35">
      <c r="A252" s="5" t="s">
        <v>1404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s="5" t="s">
        <v>1405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s="5" t="s">
        <v>1406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s="5" t="s">
        <v>1407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s="5" t="s">
        <v>1408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ht="29" x14ac:dyDescent="0.35">
      <c r="A257" s="5" t="s">
        <v>1409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s="5" t="s">
        <v>1410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s="5" t="s">
        <v>1411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s="5" t="s">
        <v>1412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s="5" t="s">
        <v>1413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s="5" t="s">
        <v>1414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s="5" t="s">
        <v>1415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s="5" t="s">
        <v>1416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s="5" t="s">
        <v>1417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s="5" t="s">
        <v>1418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s="5" t="s">
        <v>1419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s="5" t="s">
        <v>1420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s="5" t="s">
        <v>1421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s="5" t="s">
        <v>1422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s="5" t="s">
        <v>1423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s="5" t="s">
        <v>1424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s="5" t="s">
        <v>1425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s="5" t="s">
        <v>1426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ht="29" x14ac:dyDescent="0.35">
      <c r="A275" s="5" t="s">
        <v>1427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s="5" t="s">
        <v>1428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s="5" t="s">
        <v>1429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s="5" t="s">
        <v>1430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s="5" t="s">
        <v>1431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s="5" t="s">
        <v>1432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s="5" t="s">
        <v>1433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s="5" t="s">
        <v>1434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ht="29" x14ac:dyDescent="0.35">
      <c r="A283" s="5" t="s">
        <v>1435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ht="29" x14ac:dyDescent="0.35">
      <c r="A284" s="5" t="s">
        <v>1436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s="5" t="s">
        <v>1437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s="5" t="s">
        <v>1438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ht="29" x14ac:dyDescent="0.35">
      <c r="A287" s="5" t="s">
        <v>1439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ht="29" x14ac:dyDescent="0.35">
      <c r="A288" s="5" t="s">
        <v>1440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s="5" t="s">
        <v>1441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s="5" t="s">
        <v>1442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s="5" t="s">
        <v>1443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s="5" t="s">
        <v>1444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s="5" t="s">
        <v>1445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s="5" t="s">
        <v>1446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s="5" t="s">
        <v>1447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s="5" t="s">
        <v>1448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s="5" t="s">
        <v>1449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s="5" t="s">
        <v>1450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s="5" t="s">
        <v>1451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s="5" t="s">
        <v>1452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s="5" t="s">
        <v>1453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s="5" t="s">
        <v>1454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s="5" t="s">
        <v>1455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s="5" t="s">
        <v>1456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ht="29" x14ac:dyDescent="0.35">
      <c r="A305" s="5" t="s">
        <v>1457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ht="29" x14ac:dyDescent="0.35">
      <c r="A306" s="5" t="s">
        <v>1458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s="5" t="s">
        <v>1459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s="5" t="s">
        <v>1460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s="5" t="s">
        <v>1461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ht="29" x14ac:dyDescent="0.35">
      <c r="A310" s="5" t="s">
        <v>1462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s="5" t="s">
        <v>1463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s="5" t="s">
        <v>1464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s="5" t="s">
        <v>1465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s="5" t="s">
        <v>1466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s="5" t="s">
        <v>1467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s="5" t="s">
        <v>1468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s="5" t="s">
        <v>1469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s="5" t="s">
        <v>1470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s="5" t="s">
        <v>1471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s="5" t="s">
        <v>1472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s="5" t="s">
        <v>1473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ht="29" x14ac:dyDescent="0.35">
      <c r="A322" s="5" t="s">
        <v>1474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ht="29" x14ac:dyDescent="0.35">
      <c r="A323" s="5" t="s">
        <v>1475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ht="29" x14ac:dyDescent="0.35">
      <c r="A324" s="5" t="s">
        <v>1476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s="5" t="s">
        <v>1477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s="5" t="s">
        <v>1478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s="5" t="s">
        <v>1479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s="5" t="s">
        <v>1480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s="5" t="s">
        <v>1481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</sheetData>
  <conditionalFormatting sqref="A3:XFD3 A4:Z13 AB4:XFD13 AA4:AA329 A14:A262 AJ14:XFD262 B14:Z329 AB14:AI329 AJ263:CZ329">
    <cfRule type="cellIs" dxfId="134" priority="6" operator="equal">
      <formula>1</formula>
    </cfRule>
    <cfRule type="cellIs" dxfId="133" priority="7" operator="equal">
      <formula>0</formula>
    </cfRule>
    <cfRule type="cellIs" dxfId="132" priority="8" operator="equal">
      <formula>"U"</formula>
    </cfRule>
    <cfRule type="cellIs" dxfId="131" priority="9" operator="equal">
      <formula>"N"</formula>
    </cfRule>
    <cfRule type="cellIs" dxfId="130" priority="10" operator="equal">
      <formula>"Y"</formula>
    </cfRule>
  </conditionalFormatting>
  <hyperlinks>
    <hyperlink ref="A1" location="TopPage!A1" display="Back to main page" xr:uid="{D83ADA3C-4548-4D30-98E4-3A16B5974FF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86CC-1EE4-4455-A38A-4FF870BB1246}">
  <dimension ref="A1:AI197"/>
  <sheetViews>
    <sheetView workbookViewId="0">
      <pane xSplit="1" ySplit="2" topLeftCell="B191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28.54296875" style="5" customWidth="1"/>
    <col min="2" max="35" width="13.90625" customWidth="1"/>
  </cols>
  <sheetData>
    <row r="1" spans="1:35" ht="15" thickBot="1" x14ac:dyDescent="0.4">
      <c r="A1" s="6" t="s">
        <v>31</v>
      </c>
    </row>
    <row r="2" spans="1:35" ht="102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ht="29" x14ac:dyDescent="0.35">
      <c r="A3" s="5" t="s">
        <v>1482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1483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1484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1485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1486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ht="29" x14ac:dyDescent="0.35">
      <c r="A8" s="5" t="s">
        <v>1487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1488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1489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1490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ht="29" x14ac:dyDescent="0.35">
      <c r="A12" s="5" t="s">
        <v>1491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ht="29" x14ac:dyDescent="0.35">
      <c r="A13" s="5" t="s">
        <v>1492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s="5" t="s">
        <v>1493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s="5" t="s">
        <v>1494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1495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</row>
    <row r="17" spans="1:35" x14ac:dyDescent="0.35">
      <c r="A17" s="5" t="s">
        <v>1496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s="5" t="s">
        <v>1497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s="5" t="s">
        <v>1498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ht="29" x14ac:dyDescent="0.35">
      <c r="A20" s="5" t="s">
        <v>1499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s="5" t="s">
        <v>1500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s="5" t="s">
        <v>1501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</row>
    <row r="23" spans="1:35" ht="29" x14ac:dyDescent="0.35">
      <c r="A23" s="5" t="s">
        <v>1502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s="5" t="s">
        <v>1503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s="5" t="s">
        <v>1504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s="5" t="s">
        <v>1505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s="5" t="s">
        <v>1506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s="5" t="s">
        <v>1507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s="5" t="s">
        <v>1508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s="5" t="s">
        <v>1509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s="5" t="s">
        <v>1510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ht="29" x14ac:dyDescent="0.35">
      <c r="A32" s="5" t="s">
        <v>1511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ht="29" x14ac:dyDescent="0.35">
      <c r="A33" s="5" t="s">
        <v>1512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ht="29" x14ac:dyDescent="0.35">
      <c r="A34" s="5" t="s">
        <v>1513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s="5" t="s">
        <v>1514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</row>
    <row r="36" spans="1:35" x14ac:dyDescent="0.35">
      <c r="A36" s="5" t="s">
        <v>1515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</row>
    <row r="37" spans="1:35" x14ac:dyDescent="0.35">
      <c r="A37" s="5" t="s">
        <v>1516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</row>
    <row r="38" spans="1:35" x14ac:dyDescent="0.35">
      <c r="A38" s="5" t="s">
        <v>1517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</row>
    <row r="39" spans="1:35" ht="43.5" x14ac:dyDescent="0.35">
      <c r="A39" s="5" t="s">
        <v>1518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s="5" t="s">
        <v>1519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ht="29" x14ac:dyDescent="0.35">
      <c r="A41" s="5" t="s">
        <v>1520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ht="29" x14ac:dyDescent="0.35">
      <c r="A42" s="5" t="s">
        <v>1521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ht="58" x14ac:dyDescent="0.35">
      <c r="A43" s="5" t="s">
        <v>1522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s="5" t="s">
        <v>1005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s="5" t="s">
        <v>1006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ht="29" x14ac:dyDescent="0.35">
      <c r="A46" s="5" t="s">
        <v>1523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s="5" t="s">
        <v>1008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s="5" t="s">
        <v>1524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s="5" t="s">
        <v>1525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s="5" t="s">
        <v>1526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s="5" t="s">
        <v>1527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ht="29" x14ac:dyDescent="0.35">
      <c r="A52" s="5" t="s">
        <v>1528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s="5" t="s">
        <v>1529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s="5" t="s">
        <v>1530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ht="29" x14ac:dyDescent="0.35">
      <c r="A55" s="5" t="s">
        <v>1531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ht="29" x14ac:dyDescent="0.35">
      <c r="A56" s="5" t="s">
        <v>1532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ht="29" x14ac:dyDescent="0.35">
      <c r="A57" s="5" t="s">
        <v>1533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ht="43.5" x14ac:dyDescent="0.35">
      <c r="A58" s="5" t="s">
        <v>1534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ht="29" x14ac:dyDescent="0.35">
      <c r="A59" s="5" t="s">
        <v>1535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s="5" t="s">
        <v>1536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s="5" t="s">
        <v>1537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s="5" t="s">
        <v>1538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s="5" t="s">
        <v>1539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s="5" t="s">
        <v>1540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s="5" t="s">
        <v>1541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s="5" t="s">
        <v>1542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ht="29" x14ac:dyDescent="0.35">
      <c r="A67" s="5" t="s">
        <v>1543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s="5" t="s">
        <v>1544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s="5" t="s">
        <v>1545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ht="29" x14ac:dyDescent="0.35">
      <c r="A70" s="5" t="s">
        <v>1546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ht="29" x14ac:dyDescent="0.35">
      <c r="A71" s="5" t="s">
        <v>1547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ht="43.5" x14ac:dyDescent="0.35">
      <c r="A72" s="5" t="s">
        <v>1548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s="5" t="s">
        <v>1549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ht="29" x14ac:dyDescent="0.35">
      <c r="A74" s="5" t="s">
        <v>1550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ht="29" x14ac:dyDescent="0.35">
      <c r="A75" s="5" t="s">
        <v>1551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s="5" t="s">
        <v>1552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ht="29" x14ac:dyDescent="0.35">
      <c r="A77" s="5" t="s">
        <v>1553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ht="29" x14ac:dyDescent="0.35">
      <c r="A78" s="5" t="s">
        <v>1554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ht="29" x14ac:dyDescent="0.35">
      <c r="A79" s="5" t="s">
        <v>1555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s="5" t="s">
        <v>1556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ht="29" x14ac:dyDescent="0.35">
      <c r="A81" s="5" t="s">
        <v>1557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ht="29" x14ac:dyDescent="0.35">
      <c r="A82" s="5" t="s">
        <v>1558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ht="29" x14ac:dyDescent="0.35">
      <c r="A83" s="5" t="s">
        <v>1559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s="5" t="s">
        <v>1560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s="5" t="s">
        <v>1561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s="5" t="s">
        <v>1562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ht="29" x14ac:dyDescent="0.35">
      <c r="A87" s="5" t="s">
        <v>1563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s="5" t="s">
        <v>1564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ht="29" x14ac:dyDescent="0.35">
      <c r="A89" s="5" t="s">
        <v>1565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ht="43.5" x14ac:dyDescent="0.35">
      <c r="A90" s="5" t="s">
        <v>1566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ht="43.5" x14ac:dyDescent="0.35">
      <c r="A91" s="5" t="s">
        <v>1567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ht="43.5" x14ac:dyDescent="0.35">
      <c r="A92" s="5" t="s">
        <v>1568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s="5" t="s">
        <v>1569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s="5" t="s">
        <v>1570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ht="43.5" x14ac:dyDescent="0.35">
      <c r="A95" s="5" t="s">
        <v>1571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ht="29" x14ac:dyDescent="0.35">
      <c r="A96" s="5" t="s">
        <v>1572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s="5" t="s">
        <v>1573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ht="43.5" x14ac:dyDescent="0.35">
      <c r="A98" s="5" t="s">
        <v>1574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ht="29" x14ac:dyDescent="0.35">
      <c r="A99" s="5" t="s">
        <v>1575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s="5" t="s">
        <v>1576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s="5" t="s">
        <v>1577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ht="29" x14ac:dyDescent="0.35">
      <c r="A102" s="5" t="s">
        <v>1578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s="5" t="s">
        <v>1579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ht="58" x14ac:dyDescent="0.35">
      <c r="A104" s="5" t="s">
        <v>1580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s="5" t="s">
        <v>1581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ht="43.5" x14ac:dyDescent="0.35">
      <c r="A106" s="5" t="s">
        <v>1582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ht="29" x14ac:dyDescent="0.35">
      <c r="A107" s="5" t="s">
        <v>1583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ht="29" x14ac:dyDescent="0.35">
      <c r="A108" s="5" t="s">
        <v>1584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s="5" t="s">
        <v>1585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ht="29" x14ac:dyDescent="0.35">
      <c r="A110" s="5" t="s">
        <v>1586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s="5" t="s">
        <v>1587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s="5" t="s">
        <v>1588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s="5" t="s">
        <v>1589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ht="29" x14ac:dyDescent="0.35">
      <c r="A114" s="5" t="s">
        <v>1590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ht="29" x14ac:dyDescent="0.35">
      <c r="A115" s="5" t="s">
        <v>1591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ht="43.5" x14ac:dyDescent="0.35">
      <c r="A116" s="5" t="s">
        <v>1592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s="5" t="s">
        <v>1593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ht="29" x14ac:dyDescent="0.35">
      <c r="A118" s="5" t="s">
        <v>1594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s="5" t="s">
        <v>1595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ht="29" x14ac:dyDescent="0.35">
      <c r="A120" s="5" t="s">
        <v>1596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s="5" t="s">
        <v>1597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ht="29" x14ac:dyDescent="0.35">
      <c r="A122" s="5" t="s">
        <v>1598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ht="29" x14ac:dyDescent="0.35">
      <c r="A123" s="5" t="s">
        <v>1599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ht="29" x14ac:dyDescent="0.35">
      <c r="A124" s="5" t="s">
        <v>1600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ht="43.5" x14ac:dyDescent="0.35">
      <c r="A125" s="5" t="s">
        <v>1601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s="5" t="s">
        <v>1602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s="5" t="s">
        <v>1603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s="5" t="s">
        <v>1604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s="5" t="s">
        <v>1605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s="5" t="s">
        <v>1606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s="5" t="s">
        <v>1607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ht="29" x14ac:dyDescent="0.35">
      <c r="A132" s="5" t="s">
        <v>1608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ht="29" x14ac:dyDescent="0.35">
      <c r="A133" s="5" t="s">
        <v>1609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ht="29" x14ac:dyDescent="0.35">
      <c r="A134" s="5" t="s">
        <v>1610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ht="29" x14ac:dyDescent="0.35">
      <c r="A135" s="5" t="s">
        <v>1611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ht="29" x14ac:dyDescent="0.35">
      <c r="A136" s="5" t="s">
        <v>1612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ht="29" x14ac:dyDescent="0.35">
      <c r="A137" s="5" t="s">
        <v>1613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ht="29" x14ac:dyDescent="0.35">
      <c r="A138" s="5" t="s">
        <v>1614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ht="29" x14ac:dyDescent="0.35">
      <c r="A139" s="5" t="s">
        <v>1615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ht="29" x14ac:dyDescent="0.35">
      <c r="A140" s="5" t="s">
        <v>1616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ht="29" x14ac:dyDescent="0.35">
      <c r="A141" s="5" t="s">
        <v>1617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ht="29" x14ac:dyDescent="0.35">
      <c r="A142" s="5" t="s">
        <v>1618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ht="29" x14ac:dyDescent="0.35">
      <c r="A143" s="5" t="s">
        <v>1619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s="5" t="s">
        <v>1620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ht="29" x14ac:dyDescent="0.35">
      <c r="A145" s="5" t="s">
        <v>1621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ht="29" x14ac:dyDescent="0.35">
      <c r="A146" s="5" t="s">
        <v>1622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ht="29" x14ac:dyDescent="0.35">
      <c r="A147" s="5" t="s">
        <v>1623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ht="29" x14ac:dyDescent="0.35">
      <c r="A148" s="5" t="s">
        <v>1624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ht="29" x14ac:dyDescent="0.35">
      <c r="A149" s="5" t="s">
        <v>1625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ht="43.5" x14ac:dyDescent="0.35">
      <c r="A150" s="5" t="s">
        <v>1626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ht="29" x14ac:dyDescent="0.35">
      <c r="A151" s="5" t="s">
        <v>1627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ht="29" x14ac:dyDescent="0.35">
      <c r="A152" s="5" t="s">
        <v>1628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ht="43.5" x14ac:dyDescent="0.35">
      <c r="A153" s="5" t="s">
        <v>1629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ht="29" x14ac:dyDescent="0.35">
      <c r="A154" s="5" t="s">
        <v>1630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ht="43.5" x14ac:dyDescent="0.35">
      <c r="A155" s="5" t="s">
        <v>1631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ht="29" x14ac:dyDescent="0.35">
      <c r="A156" s="5" t="s">
        <v>1632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ht="29" x14ac:dyDescent="0.35">
      <c r="A157" s="5" t="s">
        <v>1633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ht="43.5" x14ac:dyDescent="0.35">
      <c r="A158" s="5" t="s">
        <v>1634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ht="29" x14ac:dyDescent="0.35">
      <c r="A159" s="5" t="s">
        <v>1635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ht="29" x14ac:dyDescent="0.35">
      <c r="A160" s="5" t="s">
        <v>1636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ht="29" x14ac:dyDescent="0.35">
      <c r="A161" s="5" t="s">
        <v>1637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ht="29" x14ac:dyDescent="0.35">
      <c r="A162" s="5" t="s">
        <v>1638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ht="29" x14ac:dyDescent="0.35">
      <c r="A163" s="5" t="s">
        <v>1639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s="5" t="s">
        <v>1640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s="5" t="s">
        <v>1641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ht="43.5" x14ac:dyDescent="0.35">
      <c r="A166" s="5" t="s">
        <v>1642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ht="29" x14ac:dyDescent="0.35">
      <c r="A167" s="5" t="s">
        <v>1643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ht="29" x14ac:dyDescent="0.35">
      <c r="A168" s="5" t="s">
        <v>1644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ht="29" x14ac:dyDescent="0.35">
      <c r="A169" s="5" t="s">
        <v>1645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ht="43.5" x14ac:dyDescent="0.35">
      <c r="A170" s="5" t="s">
        <v>1646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ht="43.5" x14ac:dyDescent="0.35">
      <c r="A171" s="5" t="s">
        <v>1647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ht="29" x14ac:dyDescent="0.35">
      <c r="A172" s="5" t="s">
        <v>1648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ht="29" x14ac:dyDescent="0.35">
      <c r="A173" s="5" t="s">
        <v>1649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ht="29" x14ac:dyDescent="0.35">
      <c r="A174" s="5" t="s">
        <v>1650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ht="29" x14ac:dyDescent="0.35">
      <c r="A175" s="5" t="s">
        <v>1651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ht="29" x14ac:dyDescent="0.35">
      <c r="A176" s="5" t="s">
        <v>1652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s="5" t="s">
        <v>1653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s="5" t="s">
        <v>1654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ht="29" x14ac:dyDescent="0.35">
      <c r="A179" s="5" t="s">
        <v>1655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ht="29" x14ac:dyDescent="0.35">
      <c r="A180" s="5" t="s">
        <v>1656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s="5" t="s">
        <v>1657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ht="29" x14ac:dyDescent="0.35">
      <c r="A182" s="5" t="s">
        <v>1658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s="5" t="s">
        <v>1659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ht="29" x14ac:dyDescent="0.35">
      <c r="A184" s="5" t="s">
        <v>1660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s="5" t="s">
        <v>1661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s="5" t="s">
        <v>1662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s="5" t="s">
        <v>1663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s="5" t="s">
        <v>1664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ht="29" x14ac:dyDescent="0.35">
      <c r="A189" s="5" t="s">
        <v>1665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ht="29" x14ac:dyDescent="0.35">
      <c r="A190" s="5" t="s">
        <v>1666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s="5" t="s">
        <v>1667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s="5" t="s">
        <v>1668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ht="29" x14ac:dyDescent="0.35">
      <c r="A193" s="5" t="s">
        <v>1669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ht="29" x14ac:dyDescent="0.35">
      <c r="A194" s="5" t="s">
        <v>1670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s="5" t="s">
        <v>1671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s="5" t="s">
        <v>1672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s="5" t="s">
        <v>4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</sheetData>
  <conditionalFormatting sqref="A3:XFD262">
    <cfRule type="cellIs" dxfId="129" priority="6" operator="equal">
      <formula>1</formula>
    </cfRule>
    <cfRule type="cellIs" dxfId="128" priority="7" operator="equal">
      <formula>0</formula>
    </cfRule>
    <cfRule type="cellIs" dxfId="127" priority="8" operator="equal">
      <formula>"U"</formula>
    </cfRule>
    <cfRule type="cellIs" dxfId="126" priority="9" operator="equal">
      <formula>"N"</formula>
    </cfRule>
    <cfRule type="cellIs" dxfId="125" priority="10" operator="equal">
      <formula>"Y"</formula>
    </cfRule>
  </conditionalFormatting>
  <hyperlinks>
    <hyperlink ref="A1" location="TopPage!A1" display="Back to main page" xr:uid="{181C64F2-583F-460F-B64C-27D64F0753C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DFC8-FE0C-405F-A3F3-9C0F893C6BC3}">
  <dimension ref="A1:AI128"/>
  <sheetViews>
    <sheetView workbookViewId="0">
      <pane xSplit="1" ySplit="2" topLeftCell="B124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2.453125" style="5" customWidth="1"/>
    <col min="2" max="35" width="13" customWidth="1"/>
  </cols>
  <sheetData>
    <row r="1" spans="1:35" ht="15" thickBot="1" x14ac:dyDescent="0.4">
      <c r="A1" s="6" t="s">
        <v>31</v>
      </c>
    </row>
    <row r="2" spans="1:35" ht="102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1673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1674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1675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1676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1677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1678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1679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1680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1681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1682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s="5" t="s">
        <v>1683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s="5" t="s">
        <v>1684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s="5" t="s">
        <v>1685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1686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ht="29" x14ac:dyDescent="0.35">
      <c r="A17" s="5" t="s">
        <v>1687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s="5" t="s">
        <v>1688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ht="29" x14ac:dyDescent="0.35">
      <c r="A19" s="5" t="s">
        <v>1689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ht="29" x14ac:dyDescent="0.35">
      <c r="A20" s="5" t="s">
        <v>1690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ht="29" x14ac:dyDescent="0.35">
      <c r="A21" s="5" t="s">
        <v>1691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s="5" t="s">
        <v>1692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ht="29" x14ac:dyDescent="0.35">
      <c r="A23" s="5" t="s">
        <v>1693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ht="29" x14ac:dyDescent="0.35">
      <c r="A24" s="5" t="s">
        <v>1694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ht="43.5" x14ac:dyDescent="0.35">
      <c r="A25" s="5" t="s">
        <v>1695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s="5" t="s">
        <v>1696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ht="43.5" x14ac:dyDescent="0.35">
      <c r="A27" s="5" t="s">
        <v>1697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ht="29" x14ac:dyDescent="0.35">
      <c r="A28" s="5" t="s">
        <v>1698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ht="29" x14ac:dyDescent="0.35">
      <c r="A29" s="5" t="s">
        <v>1699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ht="58" x14ac:dyDescent="0.35">
      <c r="A30" s="5" t="s">
        <v>1700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ht="29" x14ac:dyDescent="0.35">
      <c r="A31" s="5" t="s">
        <v>1701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ht="29" x14ac:dyDescent="0.35">
      <c r="A32" s="5" t="s">
        <v>1702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ht="43.5" x14ac:dyDescent="0.35">
      <c r="A33" s="5" t="s">
        <v>1703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ht="58" x14ac:dyDescent="0.35">
      <c r="A34" s="5" t="s">
        <v>1704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ht="29" x14ac:dyDescent="0.35">
      <c r="A35" s="5" t="s">
        <v>1705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s="5" t="s">
        <v>1706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ht="29" x14ac:dyDescent="0.35">
      <c r="A37" s="5" t="s">
        <v>1707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ht="29" x14ac:dyDescent="0.35">
      <c r="A38" s="5" t="s">
        <v>1708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s="5" t="s">
        <v>1709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ht="29" x14ac:dyDescent="0.35">
      <c r="A40" s="5" t="s">
        <v>1710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ht="29" x14ac:dyDescent="0.35">
      <c r="A41" s="5" t="s">
        <v>1711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ht="43.5" x14ac:dyDescent="0.35">
      <c r="A42" s="5" t="s">
        <v>1712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ht="29" x14ac:dyDescent="0.35">
      <c r="A43" s="5" t="s">
        <v>1713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ht="29" x14ac:dyDescent="0.35">
      <c r="A44" s="5" t="s">
        <v>1714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s="5" t="s">
        <v>1715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s="5" t="s">
        <v>1716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s="5" t="s">
        <v>1717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ht="29" x14ac:dyDescent="0.35">
      <c r="A48" s="5" t="s">
        <v>1718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ht="43.5" x14ac:dyDescent="0.35">
      <c r="A49" s="5" t="s">
        <v>1719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ht="29" x14ac:dyDescent="0.35">
      <c r="A50" s="5" t="s">
        <v>1720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ht="29" x14ac:dyDescent="0.35">
      <c r="A51" s="5" t="s">
        <v>1721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ht="29" x14ac:dyDescent="0.35">
      <c r="A52" s="5" t="s">
        <v>1722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s="5" t="s">
        <v>1723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ht="29" x14ac:dyDescent="0.35">
      <c r="A54" s="5" t="s">
        <v>1724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ht="29" x14ac:dyDescent="0.35">
      <c r="A55" s="5" t="s">
        <v>1725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ht="29" x14ac:dyDescent="0.35">
      <c r="A56" s="5" t="s">
        <v>1726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ht="43.5" x14ac:dyDescent="0.35">
      <c r="A57" s="5" t="s">
        <v>1727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s="5" t="s">
        <v>1728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ht="29" x14ac:dyDescent="0.35">
      <c r="A59" s="5" t="s">
        <v>1729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s="5" t="s">
        <v>1730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s="5" t="s">
        <v>1731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s="5" t="s">
        <v>1732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s="5" t="s">
        <v>1733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ht="29" x14ac:dyDescent="0.35">
      <c r="A64" s="5" t="s">
        <v>1734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s="5" t="s">
        <v>1735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s="5" t="s">
        <v>1736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s="5" t="s">
        <v>1737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ht="29" x14ac:dyDescent="0.35">
      <c r="A68" s="5" t="s">
        <v>1738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ht="29" x14ac:dyDescent="0.35">
      <c r="A69" s="5" t="s">
        <v>1739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ht="29" x14ac:dyDescent="0.35">
      <c r="A70" s="5" t="s">
        <v>1740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ht="29" x14ac:dyDescent="0.35">
      <c r="A71" s="5" t="s">
        <v>1741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ht="29" x14ac:dyDescent="0.35">
      <c r="A72" s="5" t="s">
        <v>1742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s="5" t="s">
        <v>1743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s="5" t="s">
        <v>1744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ht="29" x14ac:dyDescent="0.35">
      <c r="A75" s="5" t="s">
        <v>1745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ht="29" x14ac:dyDescent="0.35">
      <c r="A76" s="5" t="s">
        <v>1746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ht="29" x14ac:dyDescent="0.35">
      <c r="A77" s="5" t="s">
        <v>1747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ht="29" x14ac:dyDescent="0.35">
      <c r="A78" s="5" t="s">
        <v>1748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ht="29" x14ac:dyDescent="0.35">
      <c r="A79" s="5" t="s">
        <v>1749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ht="29" x14ac:dyDescent="0.35">
      <c r="A80" s="5" t="s">
        <v>1750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ht="29" x14ac:dyDescent="0.35">
      <c r="A81" s="5" t="s">
        <v>1751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s="5" t="s">
        <v>1752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ht="29" x14ac:dyDescent="0.35">
      <c r="A83" s="5" t="s">
        <v>1753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s="5" t="s">
        <v>1754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ht="29" x14ac:dyDescent="0.35">
      <c r="A85" s="5" t="s">
        <v>1755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ht="29" x14ac:dyDescent="0.35">
      <c r="A86" s="5" t="s">
        <v>1756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s="5" t="s">
        <v>1757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ht="29" x14ac:dyDescent="0.35">
      <c r="A88" s="5" t="s">
        <v>1758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s="5" t="s">
        <v>1759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s="5" t="s">
        <v>1760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ht="29" x14ac:dyDescent="0.35">
      <c r="A91" s="5" t="s">
        <v>1761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s="5" t="s">
        <v>1762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s="5" t="s">
        <v>1763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s="5" t="s">
        <v>1764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s="5" t="s">
        <v>1765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ht="29" x14ac:dyDescent="0.35">
      <c r="A96" s="5" t="s">
        <v>1766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s="5" t="s">
        <v>1767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s="5" t="s">
        <v>1768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s="5" t="s">
        <v>1769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s="5" t="s">
        <v>1770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ht="29" x14ac:dyDescent="0.35">
      <c r="A101" s="5" t="s">
        <v>1771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s="5" t="s">
        <v>1772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s="5" t="s">
        <v>1773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ht="29" x14ac:dyDescent="0.35">
      <c r="A104" s="5" t="s">
        <v>1774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ht="29" x14ac:dyDescent="0.35">
      <c r="A105" s="5" t="s">
        <v>1775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ht="29" x14ac:dyDescent="0.35">
      <c r="A106" s="5" t="s">
        <v>1776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ht="29" x14ac:dyDescent="0.35">
      <c r="A107" s="5" t="s">
        <v>1777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s="5" t="s">
        <v>1778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ht="29" x14ac:dyDescent="0.35">
      <c r="A109" s="5" t="s">
        <v>1779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ht="29" x14ac:dyDescent="0.35">
      <c r="A110" s="5" t="s">
        <v>1780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ht="29" x14ac:dyDescent="0.35">
      <c r="A111" s="5" t="s">
        <v>1781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ht="29" x14ac:dyDescent="0.35">
      <c r="A112" s="5" t="s">
        <v>1782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ht="29" x14ac:dyDescent="0.35">
      <c r="A113" s="5" t="s">
        <v>1783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ht="29" x14ac:dyDescent="0.35">
      <c r="A114" s="5" t="s">
        <v>1784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ht="43.5" x14ac:dyDescent="0.35">
      <c r="A115" s="5" t="s">
        <v>1785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s="5" t="s">
        <v>1786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s="5" t="s">
        <v>1787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s="5" t="s">
        <v>1788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s="5" t="s">
        <v>1789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ht="29" x14ac:dyDescent="0.35">
      <c r="A120" s="5" t="s">
        <v>1790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s="5" t="s">
        <v>1791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ht="29" x14ac:dyDescent="0.35">
      <c r="A122" s="5" t="s">
        <v>1792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ht="29" x14ac:dyDescent="0.35">
      <c r="A123" s="5" t="s">
        <v>1793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ht="29" x14ac:dyDescent="0.35">
      <c r="A124" s="5" t="s">
        <v>1794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ht="29" x14ac:dyDescent="0.35">
      <c r="A125" s="5" t="s">
        <v>1795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ht="29" x14ac:dyDescent="0.35">
      <c r="A126" s="5" t="s">
        <v>1796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ht="29" x14ac:dyDescent="0.35">
      <c r="A127" s="5" t="s">
        <v>1797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s="5" t="s">
        <v>5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</sheetData>
  <conditionalFormatting sqref="A3:XFD262">
    <cfRule type="cellIs" dxfId="124" priority="6" operator="equal">
      <formula>1</formula>
    </cfRule>
    <cfRule type="cellIs" dxfId="123" priority="7" operator="equal">
      <formula>0</formula>
    </cfRule>
    <cfRule type="cellIs" dxfId="122" priority="8" operator="equal">
      <formula>"U"</formula>
    </cfRule>
    <cfRule type="cellIs" dxfId="121" priority="9" operator="equal">
      <formula>"N"</formula>
    </cfRule>
    <cfRule type="cellIs" dxfId="120" priority="10" operator="equal">
      <formula>"Y"</formula>
    </cfRule>
  </conditionalFormatting>
  <hyperlinks>
    <hyperlink ref="A1" location="TopPage!A1" display="Back to main page" xr:uid="{315E0428-EF12-4752-874E-885279F360B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F6E6-19C8-44ED-A75E-34D833E42CDC}">
  <dimension ref="A1:AI133"/>
  <sheetViews>
    <sheetView zoomScaleNormal="100" workbookViewId="0">
      <pane xSplit="1" ySplit="2" topLeftCell="B112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40.453125" style="5" customWidth="1"/>
    <col min="2" max="35" width="17.453125" customWidth="1"/>
  </cols>
  <sheetData>
    <row r="1" spans="1:35" ht="15" thickBot="1" x14ac:dyDescent="0.4">
      <c r="A1" s="6" t="s">
        <v>31</v>
      </c>
    </row>
    <row r="2" spans="1:35" ht="73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1798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1799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1800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1801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1802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1803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1804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1805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1806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1807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s="5" t="s">
        <v>1808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ht="29" x14ac:dyDescent="0.35">
      <c r="A14" s="5" t="s">
        <v>1809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s="5" t="s">
        <v>1810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1811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ht="29" x14ac:dyDescent="0.35">
      <c r="A17" s="5" t="s">
        <v>1812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ht="29" x14ac:dyDescent="0.35">
      <c r="A18" s="5" t="s">
        <v>1813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s="5" t="s">
        <v>1814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ht="29" x14ac:dyDescent="0.35">
      <c r="A20" s="5" t="s">
        <v>1815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ht="29" x14ac:dyDescent="0.35">
      <c r="A21" s="5" t="s">
        <v>1816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ht="29" x14ac:dyDescent="0.35">
      <c r="A22" s="5" t="s">
        <v>1817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s="5" t="s">
        <v>1818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s="5" t="s">
        <v>1819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s="5" t="s">
        <v>1820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s="5" t="s">
        <v>1821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s="5" t="s">
        <v>1822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ht="29" x14ac:dyDescent="0.35">
      <c r="A28" s="5" t="s">
        <v>1823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s="5" t="s">
        <v>1824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s="5" t="s">
        <v>1825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ht="29" x14ac:dyDescent="0.35">
      <c r="A31" s="5" t="s">
        <v>1826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ht="29" x14ac:dyDescent="0.35">
      <c r="A32" s="5" t="s">
        <v>1827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ht="29" x14ac:dyDescent="0.35">
      <c r="A33" s="5" t="s">
        <v>1828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ht="29" x14ac:dyDescent="0.35">
      <c r="A34" s="5" t="s">
        <v>1112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s="5" t="s">
        <v>1829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s="5" t="s">
        <v>1830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s="5" t="s">
        <v>1831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s="5" t="s">
        <v>1832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</row>
    <row r="39" spans="1:35" ht="29" x14ac:dyDescent="0.35">
      <c r="A39" s="5" t="s">
        <v>1833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s="5" t="s">
        <v>1834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s="5" t="s">
        <v>1835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s="5" t="s">
        <v>1836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s="5" t="s">
        <v>1837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s="5" t="s">
        <v>1838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s="5" t="s">
        <v>1839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s="5" t="s">
        <v>1840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ht="29" x14ac:dyDescent="0.35">
      <c r="A47" s="5" t="s">
        <v>1114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ht="29" x14ac:dyDescent="0.35">
      <c r="A48" s="5" t="s">
        <v>1115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s="5" t="s">
        <v>1841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s="5" t="s">
        <v>1842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ht="29" x14ac:dyDescent="0.35">
      <c r="A51" s="5" t="s">
        <v>1843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ht="29" x14ac:dyDescent="0.35">
      <c r="A52" s="5" t="s">
        <v>1844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ht="29" x14ac:dyDescent="0.35">
      <c r="A53" s="5" t="s">
        <v>1845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ht="29" x14ac:dyDescent="0.35">
      <c r="A54" s="5" t="s">
        <v>1846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s="5" t="s">
        <v>1847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ht="29" x14ac:dyDescent="0.35">
      <c r="A56" s="5" t="s">
        <v>1848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ht="29" x14ac:dyDescent="0.35">
      <c r="A57" s="5" t="s">
        <v>1849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ht="29" x14ac:dyDescent="0.35">
      <c r="A58" s="5" t="s">
        <v>1850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s="5" t="s">
        <v>1851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s="5" t="s">
        <v>1852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s="5" t="s">
        <v>1853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ht="29" x14ac:dyDescent="0.35">
      <c r="A62" s="5" t="s">
        <v>1854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ht="58" x14ac:dyDescent="0.35">
      <c r="A63" s="5" t="s">
        <v>1855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ht="29" x14ac:dyDescent="0.35">
      <c r="A64" s="5" t="s">
        <v>1856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ht="29" x14ac:dyDescent="0.35">
      <c r="A65" s="5" t="s">
        <v>1857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ht="29" x14ac:dyDescent="0.35">
      <c r="A66" s="5" t="s">
        <v>1858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ht="43.5" x14ac:dyDescent="0.35">
      <c r="A67" s="5" t="s">
        <v>1859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ht="29" x14ac:dyDescent="0.35">
      <c r="A68" s="5" t="s">
        <v>1860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ht="29" x14ac:dyDescent="0.35">
      <c r="A69" s="5" t="s">
        <v>1861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ht="29" x14ac:dyDescent="0.35">
      <c r="A70" s="5" t="s">
        <v>1862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ht="29" x14ac:dyDescent="0.35">
      <c r="A71" s="5" t="s">
        <v>1863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ht="29" x14ac:dyDescent="0.35">
      <c r="A72" s="5" t="s">
        <v>1864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ht="29" x14ac:dyDescent="0.35">
      <c r="A73" s="5" t="s">
        <v>1865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ht="29" x14ac:dyDescent="0.35">
      <c r="A74" s="5" t="s">
        <v>1866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</row>
    <row r="75" spans="1:35" x14ac:dyDescent="0.35">
      <c r="A75" s="5" t="s">
        <v>1867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s="5" t="s">
        <v>1868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s="5" t="s">
        <v>1869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ht="29" x14ac:dyDescent="0.35">
      <c r="A78" s="5" t="s">
        <v>1870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s="5" t="s">
        <v>1871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s="5" t="s">
        <v>1872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ht="29" x14ac:dyDescent="0.35">
      <c r="A81" s="5" t="s">
        <v>1873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s="5" t="s">
        <v>1874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s="5" t="s">
        <v>1875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s="5" t="s">
        <v>1876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s="5" t="s">
        <v>1877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ht="29" x14ac:dyDescent="0.35">
      <c r="A86" s="5" t="s">
        <v>1878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ht="29" x14ac:dyDescent="0.35">
      <c r="A87" s="5" t="s">
        <v>1879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</row>
    <row r="88" spans="1:35" x14ac:dyDescent="0.35">
      <c r="A88" s="5" t="s">
        <v>1880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s="5" t="s">
        <v>1881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ht="29" x14ac:dyDescent="0.35">
      <c r="A90" s="5" t="s">
        <v>1882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ht="29" x14ac:dyDescent="0.35">
      <c r="A91" s="5" t="s">
        <v>1883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s="5" t="s">
        <v>1884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ht="29" x14ac:dyDescent="0.35">
      <c r="A93" s="5" t="s">
        <v>1885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ht="43.5" x14ac:dyDescent="0.35">
      <c r="A94" s="5" t="s">
        <v>1886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</row>
    <row r="95" spans="1:35" ht="29" x14ac:dyDescent="0.35">
      <c r="A95" s="5" t="s">
        <v>1887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</row>
    <row r="96" spans="1:35" ht="29" x14ac:dyDescent="0.35">
      <c r="A96" s="5" t="s">
        <v>1888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</row>
    <row r="97" spans="1:35" ht="29" x14ac:dyDescent="0.35">
      <c r="A97" s="5" t="s">
        <v>1889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ht="29" x14ac:dyDescent="0.35">
      <c r="A98" s="5" t="s">
        <v>1890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ht="29" x14ac:dyDescent="0.35">
      <c r="A99" s="5" t="s">
        <v>1891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</row>
    <row r="100" spans="1:35" ht="29" x14ac:dyDescent="0.35">
      <c r="A100" s="5" t="s">
        <v>1892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ht="29" x14ac:dyDescent="0.35">
      <c r="A101" s="5" t="s">
        <v>1893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s="5" t="s">
        <v>1894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ht="29" x14ac:dyDescent="0.35">
      <c r="A103" s="5" t="s">
        <v>1895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ht="29" x14ac:dyDescent="0.35">
      <c r="A104" s="5" t="s">
        <v>1896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s="5" t="s">
        <v>1897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ht="29" x14ac:dyDescent="0.35">
      <c r="A106" s="5" t="s">
        <v>1898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ht="29" x14ac:dyDescent="0.35">
      <c r="A107" s="5" t="s">
        <v>1899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ht="29" x14ac:dyDescent="0.35">
      <c r="A108" s="5" t="s">
        <v>1900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ht="29" x14ac:dyDescent="0.35">
      <c r="A109" s="5" t="s">
        <v>1901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ht="29" x14ac:dyDescent="0.35">
      <c r="A110" s="5" t="s">
        <v>1902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ht="29" x14ac:dyDescent="0.35">
      <c r="A111" s="5" t="s">
        <v>1903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s="5" t="s">
        <v>1904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s="5" t="s">
        <v>1905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s="5" t="s">
        <v>1906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s="5" t="s">
        <v>1907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s="5" t="s">
        <v>1908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s="5" t="s">
        <v>1909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s="5" t="s">
        <v>1910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s="5" t="s">
        <v>1911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s="5" t="s">
        <v>1912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s="5" t="s">
        <v>1913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s="5" t="s">
        <v>1914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s="5" t="s">
        <v>1915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s="5" t="s">
        <v>1916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s="5" t="s">
        <v>1917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s="5" t="s">
        <v>1918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ht="29" x14ac:dyDescent="0.35">
      <c r="A127" s="5" t="s">
        <v>1919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s="5" t="s">
        <v>1920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ht="29" x14ac:dyDescent="0.35">
      <c r="A129" s="5" t="s">
        <v>1921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ht="29" x14ac:dyDescent="0.35">
      <c r="A130" s="5" t="s">
        <v>1922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ht="29" x14ac:dyDescent="0.35">
      <c r="A131" s="5" t="s">
        <v>1923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s="5" t="s">
        <v>1924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s="5" t="s">
        <v>1925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</sheetData>
  <conditionalFormatting sqref="A3:XFD261">
    <cfRule type="cellIs" dxfId="119" priority="6" operator="equal">
      <formula>1</formula>
    </cfRule>
    <cfRule type="cellIs" dxfId="118" priority="7" operator="equal">
      <formula>0</formula>
    </cfRule>
    <cfRule type="cellIs" dxfId="117" priority="8" operator="equal">
      <formula>"U"</formula>
    </cfRule>
    <cfRule type="cellIs" dxfId="116" priority="9" operator="equal">
      <formula>"N"</formula>
    </cfRule>
    <cfRule type="cellIs" dxfId="115" priority="10" operator="equal">
      <formula>"Y"</formula>
    </cfRule>
  </conditionalFormatting>
  <hyperlinks>
    <hyperlink ref="A1" location="TopPage!A1" display="Back to main page" xr:uid="{40397BC3-5A2E-4089-8C71-839902732D7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79C5-74FF-4154-8CFA-449E6567A71D}">
  <dimension ref="A1:AI120"/>
  <sheetViews>
    <sheetView zoomScale="85" zoomScaleNormal="85" workbookViewId="0">
      <pane xSplit="1" ySplit="2" topLeftCell="B11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5.08984375" style="5" customWidth="1"/>
    <col min="2" max="28" width="11.453125" customWidth="1"/>
    <col min="29" max="29" width="15.54296875" customWidth="1"/>
    <col min="30" max="35" width="11.453125" customWidth="1"/>
  </cols>
  <sheetData>
    <row r="1" spans="1:35" ht="15" thickBot="1" x14ac:dyDescent="0.4">
      <c r="A1" s="6" t="s">
        <v>31</v>
      </c>
    </row>
    <row r="2" spans="1:35" ht="116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1926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ht="58" x14ac:dyDescent="0.35">
      <c r="A4" s="5" t="s">
        <v>1927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1928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1929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1930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1931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1932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1933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ht="29" x14ac:dyDescent="0.35">
      <c r="A11" s="5" t="s">
        <v>1934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1935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s="5" t="s">
        <v>1936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ht="29" x14ac:dyDescent="0.35">
      <c r="A14" s="5" t="s">
        <v>1937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ht="29" x14ac:dyDescent="0.35">
      <c r="A15" s="5" t="s">
        <v>1938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1939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ht="29" x14ac:dyDescent="0.35">
      <c r="A17" s="5" t="s">
        <v>1940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ht="43.5" x14ac:dyDescent="0.35">
      <c r="A18" s="5" t="s">
        <v>1941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ht="29" x14ac:dyDescent="0.35">
      <c r="A19" s="5" t="s">
        <v>1942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s="5" t="s">
        <v>1943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ht="29" x14ac:dyDescent="0.35">
      <c r="A21" s="5" t="s">
        <v>1944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ht="29" x14ac:dyDescent="0.35">
      <c r="A22" s="5" t="s">
        <v>1945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ht="29" x14ac:dyDescent="0.35">
      <c r="A23" s="5" t="s">
        <v>1946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ht="29" x14ac:dyDescent="0.35">
      <c r="A24" s="5" t="s">
        <v>1947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ht="29" x14ac:dyDescent="0.35">
      <c r="A25" s="5" t="s">
        <v>1948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s="5" t="s">
        <v>1949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ht="29" x14ac:dyDescent="0.35">
      <c r="A27" s="5" t="s">
        <v>1950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ht="43.5" x14ac:dyDescent="0.35">
      <c r="A28" s="5" t="s">
        <v>1951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s="5" t="s">
        <v>1952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s="5" t="s">
        <v>1953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s="5" t="s">
        <v>1954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s="5" t="s">
        <v>1955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s="5" t="s">
        <v>1956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s="5" t="s">
        <v>1957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s="5" t="s">
        <v>1958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s="5" t="s">
        <v>1959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ht="29" x14ac:dyDescent="0.35">
      <c r="A37" s="5" t="s">
        <v>1960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ht="29" x14ac:dyDescent="0.35">
      <c r="A38" s="5" t="s">
        <v>1961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ht="29" x14ac:dyDescent="0.35">
      <c r="A39" s="5" t="s">
        <v>1962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ht="29" x14ac:dyDescent="0.35">
      <c r="A40" s="5" t="s">
        <v>1963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s="5" t="s">
        <v>1964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ht="29" x14ac:dyDescent="0.35">
      <c r="A42" s="5" t="s">
        <v>1965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s="5" t="s">
        <v>1966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s="5" t="s">
        <v>1967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s="5" t="s">
        <v>1968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s="5" t="s">
        <v>1969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ht="29" x14ac:dyDescent="0.35">
      <c r="A47" s="5" t="s">
        <v>1970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ht="58" x14ac:dyDescent="0.35">
      <c r="A48" s="5" t="s">
        <v>1971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ht="29" x14ac:dyDescent="0.35">
      <c r="A49" s="5" t="s">
        <v>1972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ht="29" x14ac:dyDescent="0.35">
      <c r="A50" s="5" t="s">
        <v>1973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s="5" t="s">
        <v>1974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ht="29" x14ac:dyDescent="0.35">
      <c r="A52" s="5" t="s">
        <v>1975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s="5" t="s">
        <v>1976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ht="29" x14ac:dyDescent="0.35">
      <c r="A54" s="5" t="s">
        <v>1977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s="5" t="s">
        <v>1978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s="5" t="s">
        <v>1979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s="5" t="s">
        <v>1980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ht="29" x14ac:dyDescent="0.35">
      <c r="A58" s="5" t="s">
        <v>1981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s="5" t="s">
        <v>1982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ht="29" x14ac:dyDescent="0.35">
      <c r="A60" s="5" t="s">
        <v>1983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ht="29" x14ac:dyDescent="0.35">
      <c r="A61" s="5" t="s">
        <v>1984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ht="29" x14ac:dyDescent="0.35">
      <c r="A62" s="5" t="s">
        <v>1985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ht="29" x14ac:dyDescent="0.35">
      <c r="A63" s="5" t="s">
        <v>1986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s="5" t="s">
        <v>1987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ht="29" x14ac:dyDescent="0.35">
      <c r="A65" s="5" t="s">
        <v>1988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s="5" t="s">
        <v>1989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ht="43.5" x14ac:dyDescent="0.35">
      <c r="A67" s="5" t="s">
        <v>1990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ht="29" x14ac:dyDescent="0.35">
      <c r="A68" s="5" t="s">
        <v>1991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ht="29" x14ac:dyDescent="0.35">
      <c r="A69" s="5" t="s">
        <v>1992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ht="29" x14ac:dyDescent="0.35">
      <c r="A70" s="5" t="s">
        <v>1993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s="5" t="s">
        <v>1994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s="5" t="s">
        <v>1995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s="5" t="s">
        <v>1996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s="5" t="s">
        <v>1997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s="5" t="s">
        <v>1998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s="5" t="s">
        <v>1999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s="5" t="s">
        <v>2000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s="5" t="s">
        <v>2001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s="5" t="s">
        <v>2002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ht="29" x14ac:dyDescent="0.35">
      <c r="A80" s="5" t="s">
        <v>2003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ht="29" x14ac:dyDescent="0.35">
      <c r="A81" s="5" t="s">
        <v>2004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s="5" t="s">
        <v>2005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s="5" t="s">
        <v>2006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s="5" t="s">
        <v>2007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ht="58" x14ac:dyDescent="0.35">
      <c r="A85" s="5" t="s">
        <v>2008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ht="29" x14ac:dyDescent="0.35">
      <c r="A86" s="5" t="s">
        <v>2009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s="5" t="s">
        <v>2010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ht="29" x14ac:dyDescent="0.35">
      <c r="A88" s="5" t="s">
        <v>2011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ht="29" x14ac:dyDescent="0.35">
      <c r="A89" s="5" t="s">
        <v>2012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s="5" t="s">
        <v>2013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s="5" t="s">
        <v>2014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s="5" t="s">
        <v>2015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s="5" t="s">
        <v>2016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s="5" t="s">
        <v>2017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s="5" t="s">
        <v>2018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s="5" t="s">
        <v>2019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ht="29" x14ac:dyDescent="0.35">
      <c r="A97" s="5" t="s">
        <v>2020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ht="29" x14ac:dyDescent="0.35">
      <c r="A98" s="5" t="s">
        <v>2021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s="5" t="s">
        <v>2022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ht="29" x14ac:dyDescent="0.35">
      <c r="A100" s="5" t="s">
        <v>2023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s="5" t="s">
        <v>2024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s="5" t="s">
        <v>2025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s="5" t="s">
        <v>2026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s="5" t="s">
        <v>2027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s="5" t="s">
        <v>2028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s="5" t="s">
        <v>2029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s="5" t="s">
        <v>2030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s="5" t="s">
        <v>2031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s="5" t="s">
        <v>2032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s="5" t="s">
        <v>2033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ht="29" x14ac:dyDescent="0.35">
      <c r="A111" s="5" t="s">
        <v>2034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s="5" t="s">
        <v>2035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ht="43.5" x14ac:dyDescent="0.35">
      <c r="A113" s="5" t="s">
        <v>2036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s="5" t="s">
        <v>2037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ht="29" x14ac:dyDescent="0.35">
      <c r="A115" s="5" t="s">
        <v>2038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ht="29" x14ac:dyDescent="0.35">
      <c r="A116" s="5" t="s">
        <v>2039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ht="29" x14ac:dyDescent="0.35">
      <c r="A117" s="5" t="s">
        <v>2040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s="5" t="s">
        <v>2041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s="5" t="s">
        <v>2042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s="5" t="s">
        <v>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</sheetData>
  <conditionalFormatting sqref="A3:XFD262">
    <cfRule type="cellIs" dxfId="114" priority="6" operator="equal">
      <formula>1</formula>
    </cfRule>
    <cfRule type="cellIs" dxfId="113" priority="7" operator="equal">
      <formula>0</formula>
    </cfRule>
    <cfRule type="cellIs" dxfId="112" priority="8" operator="equal">
      <formula>"U"</formula>
    </cfRule>
    <cfRule type="cellIs" dxfId="111" priority="9" operator="equal">
      <formula>"N"</formula>
    </cfRule>
    <cfRule type="cellIs" dxfId="110" priority="10" operator="equal">
      <formula>"Y"</formula>
    </cfRule>
  </conditionalFormatting>
  <hyperlinks>
    <hyperlink ref="A1" location="TopPage!A1" display="Back to main page" xr:uid="{CAB66F87-42BA-49AE-9F68-2DCD2646C18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81D8-ADFF-44CD-BADC-D35F97F25B04}">
  <dimension ref="A1:AI79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24.453125" style="5" customWidth="1"/>
    <col min="2" max="35" width="15.453125" customWidth="1"/>
  </cols>
  <sheetData>
    <row r="1" spans="1:35" ht="15" thickBot="1" x14ac:dyDescent="0.4">
      <c r="A1" s="6" t="s">
        <v>31</v>
      </c>
    </row>
    <row r="2" spans="1:35" ht="87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ht="29" x14ac:dyDescent="0.35">
      <c r="A3" s="5" t="s">
        <v>2043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ht="29" x14ac:dyDescent="0.35">
      <c r="A4" s="5" t="s">
        <v>2044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2045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ht="29" x14ac:dyDescent="0.35">
      <c r="A6" s="5" t="s">
        <v>2046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ht="29" x14ac:dyDescent="0.35">
      <c r="A7" s="5" t="s">
        <v>2047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ht="43.5" x14ac:dyDescent="0.35">
      <c r="A8" s="5" t="s">
        <v>2048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</row>
    <row r="9" spans="1:35" ht="29" x14ac:dyDescent="0.35">
      <c r="A9" s="5" t="s">
        <v>2049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</row>
    <row r="10" spans="1:35" x14ac:dyDescent="0.35">
      <c r="A10" s="5" t="s">
        <v>2050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</row>
    <row r="11" spans="1:35" ht="29" x14ac:dyDescent="0.35">
      <c r="A11" s="5" t="s">
        <v>2051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</row>
    <row r="12" spans="1:35" ht="43.5" x14ac:dyDescent="0.35">
      <c r="A12" s="5" t="s">
        <v>2052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</row>
    <row r="13" spans="1:35" ht="29" x14ac:dyDescent="0.35">
      <c r="A13" s="5" t="s">
        <v>2053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</row>
    <row r="14" spans="1:35" ht="43.5" x14ac:dyDescent="0.35">
      <c r="A14" s="5" t="s">
        <v>2054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</row>
    <row r="15" spans="1:35" ht="43.5" x14ac:dyDescent="0.35">
      <c r="A15" s="5" t="s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</row>
    <row r="16" spans="1:35" ht="43.5" x14ac:dyDescent="0.35">
      <c r="A16" s="5" t="s">
        <v>2056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</row>
    <row r="17" spans="1:35" ht="43.5" x14ac:dyDescent="0.35">
      <c r="A17" s="5" t="s">
        <v>2057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</row>
    <row r="18" spans="1:35" ht="29" x14ac:dyDescent="0.35">
      <c r="A18" s="5" t="s">
        <v>2058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</row>
    <row r="19" spans="1:35" x14ac:dyDescent="0.35">
      <c r="A19" s="5" t="s">
        <v>2059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</row>
    <row r="20" spans="1:35" x14ac:dyDescent="0.35">
      <c r="A20" s="5" t="s">
        <v>2060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</row>
    <row r="21" spans="1:35" x14ac:dyDescent="0.35">
      <c r="A21" s="5" t="s">
        <v>2061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</row>
    <row r="22" spans="1:35" ht="29" x14ac:dyDescent="0.35">
      <c r="A22" s="5" t="s">
        <v>2062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</row>
    <row r="23" spans="1:35" ht="29" x14ac:dyDescent="0.35">
      <c r="A23" s="5" t="s">
        <v>2063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</row>
    <row r="24" spans="1:35" ht="29" x14ac:dyDescent="0.35">
      <c r="A24" s="5" t="s">
        <v>2064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</row>
    <row r="25" spans="1:35" ht="43.5" x14ac:dyDescent="0.35">
      <c r="A25" s="5" t="s">
        <v>2065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</row>
    <row r="26" spans="1:35" x14ac:dyDescent="0.35">
      <c r="A26" s="5" t="s">
        <v>2066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</row>
    <row r="27" spans="1:35" ht="43.5" x14ac:dyDescent="0.35">
      <c r="A27" s="5" t="s">
        <v>2067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</row>
    <row r="28" spans="1:35" ht="29" x14ac:dyDescent="0.35">
      <c r="A28" s="5" t="s">
        <v>2068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</row>
    <row r="29" spans="1:35" ht="58" x14ac:dyDescent="0.35">
      <c r="A29" s="5" t="s">
        <v>2069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ht="43.5" x14ac:dyDescent="0.35">
      <c r="A30" s="5" t="s">
        <v>2070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ht="43.5" x14ac:dyDescent="0.35">
      <c r="A31" s="5" t="s">
        <v>2071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s="5" t="s">
        <v>2072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</row>
    <row r="33" spans="1:35" ht="29" x14ac:dyDescent="0.35">
      <c r="A33" s="5" t="s">
        <v>2073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</row>
    <row r="34" spans="1:35" ht="29" x14ac:dyDescent="0.35">
      <c r="A34" s="5" t="s">
        <v>2074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</row>
    <row r="35" spans="1:35" ht="43.5" x14ac:dyDescent="0.35">
      <c r="A35" s="5" t="s">
        <v>2075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ht="43.5" x14ac:dyDescent="0.35">
      <c r="A36" s="5" t="s">
        <v>2076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</row>
    <row r="37" spans="1:35" ht="43.5" x14ac:dyDescent="0.35">
      <c r="A37" s="5" t="s">
        <v>2077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</row>
    <row r="38" spans="1:35" ht="29" x14ac:dyDescent="0.35">
      <c r="A38" s="5" t="s">
        <v>2078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ht="29" x14ac:dyDescent="0.35">
      <c r="A39" s="5" t="s">
        <v>2079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ht="29" x14ac:dyDescent="0.35">
      <c r="A40" s="5" t="s">
        <v>2080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ht="29" x14ac:dyDescent="0.35">
      <c r="A41" s="5" t="s">
        <v>2081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ht="43.5" x14ac:dyDescent="0.35">
      <c r="A42" s="5" t="s">
        <v>2082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ht="43.5" x14ac:dyDescent="0.35">
      <c r="A43" s="5" t="s">
        <v>2083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ht="43.5" x14ac:dyDescent="0.35">
      <c r="A44" s="5" t="s">
        <v>2084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ht="43.5" x14ac:dyDescent="0.35">
      <c r="A45" s="5" t="s">
        <v>2085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ht="58" x14ac:dyDescent="0.35">
      <c r="A46" s="5" t="s">
        <v>2086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ht="58" x14ac:dyDescent="0.35">
      <c r="A47" s="5" t="s">
        <v>2087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ht="29" x14ac:dyDescent="0.35">
      <c r="A48" s="5" t="s">
        <v>2088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ht="29" x14ac:dyDescent="0.35">
      <c r="A49" s="5" t="s">
        <v>2089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s="5" t="s">
        <v>2090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ht="43.5" x14ac:dyDescent="0.35">
      <c r="A51" s="5" t="s">
        <v>2091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s="5" t="s">
        <v>2092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ht="29" x14ac:dyDescent="0.35">
      <c r="A53" s="5" t="s">
        <v>2093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ht="29" x14ac:dyDescent="0.35">
      <c r="A54" s="5" t="s">
        <v>2094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ht="29" x14ac:dyDescent="0.35">
      <c r="A55" s="5" t="s">
        <v>2095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ht="29" x14ac:dyDescent="0.35">
      <c r="A56" s="5" t="s">
        <v>2096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s="5" t="s">
        <v>2097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</row>
    <row r="58" spans="1:35" ht="29" x14ac:dyDescent="0.35">
      <c r="A58" s="5" t="s">
        <v>2098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</row>
    <row r="59" spans="1:35" ht="29" x14ac:dyDescent="0.35">
      <c r="A59" s="5" t="s">
        <v>836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ht="43.5" x14ac:dyDescent="0.35">
      <c r="A60" s="5" t="s">
        <v>2099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</row>
    <row r="61" spans="1:35" x14ac:dyDescent="0.35">
      <c r="A61" s="5" t="s">
        <v>2100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</row>
    <row r="62" spans="1:35" x14ac:dyDescent="0.35">
      <c r="A62" s="5" t="s">
        <v>2101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</row>
    <row r="63" spans="1:35" ht="29" x14ac:dyDescent="0.35">
      <c r="A63" s="5" t="s">
        <v>2102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</row>
    <row r="64" spans="1:35" ht="29" x14ac:dyDescent="0.35">
      <c r="A64" s="5" t="s">
        <v>2103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</row>
    <row r="65" spans="1:35" ht="29" x14ac:dyDescent="0.35">
      <c r="A65" s="5" t="s">
        <v>2104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H65">
        <v>0</v>
      </c>
      <c r="AI65">
        <v>0</v>
      </c>
    </row>
    <row r="66" spans="1:35" ht="29" x14ac:dyDescent="0.35">
      <c r="A66" s="5" t="s">
        <v>2105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s="5" t="s">
        <v>2106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ht="29" x14ac:dyDescent="0.35">
      <c r="A68" s="5" t="s">
        <v>2107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ht="29" x14ac:dyDescent="0.35">
      <c r="A69" s="5" t="s">
        <v>2108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</row>
    <row r="70" spans="1:35" ht="29" x14ac:dyDescent="0.35">
      <c r="A70" s="5" t="s">
        <v>2109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ht="43.5" x14ac:dyDescent="0.35">
      <c r="A71" s="5" t="s">
        <v>2110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ht="43.5" x14ac:dyDescent="0.35">
      <c r="A72" s="5" t="s">
        <v>2111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ht="29" x14ac:dyDescent="0.35">
      <c r="A73" s="5" t="s">
        <v>2112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ht="29" x14ac:dyDescent="0.35">
      <c r="A74" s="5" t="s">
        <v>2113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ht="29" x14ac:dyDescent="0.35">
      <c r="A75" s="5" t="s">
        <v>2114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ht="29" x14ac:dyDescent="0.35">
      <c r="A76" s="5" t="s">
        <v>2115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ht="29" x14ac:dyDescent="0.35">
      <c r="A77" s="5" t="s">
        <v>2116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s="5" t="s">
        <v>2117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ht="29" x14ac:dyDescent="0.35">
      <c r="A79" s="5" t="s">
        <v>2118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</sheetData>
  <conditionalFormatting sqref="A3:XFD262">
    <cfRule type="cellIs" dxfId="109" priority="11" operator="equal">
      <formula>1</formula>
    </cfRule>
    <cfRule type="cellIs" dxfId="108" priority="12" operator="equal">
      <formula>0</formula>
    </cfRule>
    <cfRule type="cellIs" dxfId="107" priority="13" operator="equal">
      <formula>"U"</formula>
    </cfRule>
    <cfRule type="cellIs" dxfId="106" priority="14" operator="equal">
      <formula>"N"</formula>
    </cfRule>
    <cfRule type="cellIs" dxfId="105" priority="15" operator="equal">
      <formula>"Y"</formula>
    </cfRule>
  </conditionalFormatting>
  <hyperlinks>
    <hyperlink ref="A1" location="TopPage!A1" display="Back to main page" xr:uid="{DCE0672B-D6B6-400C-B62E-94FD69268D9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82FA-C941-4D90-8D5B-789E1C8E8641}">
  <dimension ref="A1:AI82"/>
  <sheetViews>
    <sheetView zoomScale="115" zoomScaleNormal="115" workbookViewId="0">
      <pane xSplit="1" ySplit="2" topLeftCell="B81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0.54296875" style="5" customWidth="1"/>
    <col min="2" max="35" width="13.453125" customWidth="1"/>
  </cols>
  <sheetData>
    <row r="1" spans="1:35" ht="15" thickBot="1" x14ac:dyDescent="0.4">
      <c r="A1" s="6" t="s">
        <v>31</v>
      </c>
    </row>
    <row r="2" spans="1:35" ht="102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2119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ht="29" x14ac:dyDescent="0.35">
      <c r="A4" s="5" t="s">
        <v>2120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ht="29" x14ac:dyDescent="0.35">
      <c r="A5" s="5" t="s">
        <v>2121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ht="29" x14ac:dyDescent="0.35">
      <c r="A6" s="5" t="s">
        <v>2122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2123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ht="29" x14ac:dyDescent="0.35">
      <c r="A8" s="5" t="s">
        <v>2124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2125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2126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ht="29" x14ac:dyDescent="0.35">
      <c r="A11" s="5" t="s">
        <v>2127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2128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ht="29" x14ac:dyDescent="0.35">
      <c r="A13" s="5" t="s">
        <v>2129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s="5" t="s">
        <v>2130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s="5" t="s">
        <v>2131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ht="29" x14ac:dyDescent="0.35">
      <c r="A16" s="5" t="s">
        <v>2132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s="5" t="s">
        <v>2133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ht="58" x14ac:dyDescent="0.35">
      <c r="A18" s="5" t="s">
        <v>2134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ht="29" x14ac:dyDescent="0.35">
      <c r="A19" s="5" t="s">
        <v>2135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ht="43.5" x14ac:dyDescent="0.35">
      <c r="A20" s="5" t="s">
        <v>2136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ht="29" x14ac:dyDescent="0.35">
      <c r="A21" s="5" t="s">
        <v>2137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ht="29" x14ac:dyDescent="0.35">
      <c r="A22" s="5" t="s">
        <v>2138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ht="43.5" x14ac:dyDescent="0.35">
      <c r="A23" s="5" t="s">
        <v>2139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ht="43.5" x14ac:dyDescent="0.35">
      <c r="A24" s="5" t="s">
        <v>2140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ht="43.5" x14ac:dyDescent="0.35">
      <c r="A25" s="5" t="s">
        <v>2141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ht="29" x14ac:dyDescent="0.35">
      <c r="A26" s="5" t="s">
        <v>2142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s="5" t="s">
        <v>2143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ht="43.5" x14ac:dyDescent="0.35">
      <c r="A28" s="5" t="s">
        <v>2144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s="5" t="s">
        <v>2145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s="5" t="s">
        <v>2146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s="5" t="s">
        <v>2147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s="5" t="s">
        <v>2148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ht="29" x14ac:dyDescent="0.35">
      <c r="A33" s="5" t="s">
        <v>2149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s="5" t="s">
        <v>2150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s="5" t="s">
        <v>2151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s="5" t="s">
        <v>2152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s="5" t="s">
        <v>2153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ht="29" x14ac:dyDescent="0.35">
      <c r="A38" s="5" t="s">
        <v>2154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s="5" t="s">
        <v>2155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ht="29" x14ac:dyDescent="0.35">
      <c r="A40" s="5" t="s">
        <v>2156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s="5" t="s">
        <v>2157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s="5" t="s">
        <v>2158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s="5" t="s">
        <v>2159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ht="29" x14ac:dyDescent="0.35">
      <c r="A44" s="5" t="s">
        <v>2160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ht="29" x14ac:dyDescent="0.35">
      <c r="A45" s="5" t="s">
        <v>2161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ht="29" x14ac:dyDescent="0.35">
      <c r="A46" s="5" t="s">
        <v>2162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s="5" t="s">
        <v>2163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s="5" t="s">
        <v>2164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s="5" t="s">
        <v>2165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ht="29" x14ac:dyDescent="0.35">
      <c r="A50" s="5" t="s">
        <v>2166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ht="29" x14ac:dyDescent="0.35">
      <c r="A51" s="5" t="s">
        <v>2167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s="5" t="s">
        <v>2168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ht="29" x14ac:dyDescent="0.35">
      <c r="A53" s="5" t="s">
        <v>2169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s="5" t="s">
        <v>2170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s="5" t="s">
        <v>2171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s="5" t="s">
        <v>2172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s="5" t="s">
        <v>2173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s="5" t="s">
        <v>2174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s="5" t="s">
        <v>2175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ht="29" x14ac:dyDescent="0.35">
      <c r="A60" s="5" t="s">
        <v>2176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s="5" t="s">
        <v>2177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s="5" t="s">
        <v>2178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ht="29" x14ac:dyDescent="0.35">
      <c r="A63" s="5" t="s">
        <v>2179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ht="29" x14ac:dyDescent="0.35">
      <c r="A64" s="5" t="s">
        <v>2180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ht="29" x14ac:dyDescent="0.35">
      <c r="A65" s="5" t="s">
        <v>2181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s="5" t="s">
        <v>2182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ht="29" x14ac:dyDescent="0.35">
      <c r="A67" s="5" t="s">
        <v>2183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ht="29" x14ac:dyDescent="0.35">
      <c r="A68" s="5" t="s">
        <v>2184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ht="29" x14ac:dyDescent="0.35">
      <c r="A69" s="5" t="s">
        <v>2185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ht="29" x14ac:dyDescent="0.35">
      <c r="A70" s="5" t="s">
        <v>2186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s="5" t="s">
        <v>2187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s="5" t="s">
        <v>2188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s="5" t="s">
        <v>2189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ht="29" x14ac:dyDescent="0.35">
      <c r="A74" s="5" t="s">
        <v>2190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ht="29" x14ac:dyDescent="0.35">
      <c r="A75" s="5" t="s">
        <v>2191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s="5" t="s">
        <v>2192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s="5" t="s">
        <v>2193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ht="43.5" x14ac:dyDescent="0.35">
      <c r="A78" s="5" t="s">
        <v>2194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ht="43.5" x14ac:dyDescent="0.35">
      <c r="A79" s="5" t="s">
        <v>2195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ht="43.5" x14ac:dyDescent="0.35">
      <c r="A80" s="5" t="s">
        <v>2196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ht="43.5" x14ac:dyDescent="0.35">
      <c r="A81" s="5" t="s">
        <v>2197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s="5" t="s">
        <v>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</sheetData>
  <conditionalFormatting sqref="A3:XFD262">
    <cfRule type="cellIs" dxfId="104" priority="11" operator="equal">
      <formula>1</formula>
    </cfRule>
    <cfRule type="cellIs" dxfId="103" priority="12" operator="equal">
      <formula>0</formula>
    </cfRule>
    <cfRule type="cellIs" dxfId="102" priority="13" operator="equal">
      <formula>"U"</formula>
    </cfRule>
    <cfRule type="cellIs" dxfId="101" priority="14" operator="equal">
      <formula>"N"</formula>
    </cfRule>
    <cfRule type="cellIs" dxfId="100" priority="15" operator="equal">
      <formula>"Y"</formula>
    </cfRule>
  </conditionalFormatting>
  <hyperlinks>
    <hyperlink ref="A1" location="TopPage!A1" display="Back to main page" xr:uid="{AE7FAA79-BBE8-4835-8001-13655395786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F99B-391C-4188-92B6-4EADAB79A812}">
  <dimension ref="A1:AI70"/>
  <sheetViews>
    <sheetView zoomScale="130" zoomScaleNormal="13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0.08984375" style="5" customWidth="1"/>
  </cols>
  <sheetData>
    <row r="1" spans="1:35" ht="15" thickBot="1" x14ac:dyDescent="0.4">
      <c r="A1" s="6" t="s">
        <v>31</v>
      </c>
    </row>
    <row r="2" spans="1:35" ht="145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2198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ht="29" x14ac:dyDescent="0.35">
      <c r="A4" s="5" t="s">
        <v>2199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ht="29" x14ac:dyDescent="0.35">
      <c r="A5" s="5" t="s">
        <v>2200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ht="29" x14ac:dyDescent="0.35">
      <c r="A6" s="5" t="s">
        <v>2201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2202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ht="29" x14ac:dyDescent="0.35">
      <c r="A8" s="5" t="s">
        <v>2203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ht="29" x14ac:dyDescent="0.35">
      <c r="A9" s="5" t="s">
        <v>2204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2205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2206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2207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</row>
    <row r="13" spans="1:35" ht="29" x14ac:dyDescent="0.35">
      <c r="A13" s="5" t="s">
        <v>2208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ht="29" x14ac:dyDescent="0.35">
      <c r="A14" s="5" t="s">
        <v>2209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s="5" t="s">
        <v>2210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2211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s="5" t="s">
        <v>2212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s="5" t="s">
        <v>2213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s="5" t="s">
        <v>2214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s="5" t="s">
        <v>2215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ht="29" x14ac:dyDescent="0.35">
      <c r="A21" s="5" t="s">
        <v>2216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s="5" t="s">
        <v>2217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s="5" t="s">
        <v>2218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s="5" t="s">
        <v>2219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ht="29" x14ac:dyDescent="0.35">
      <c r="A25" s="5" t="s">
        <v>2220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s="5" t="s">
        <v>2221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s="5" t="s">
        <v>2222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s="5" t="s">
        <v>2223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s="5" t="s">
        <v>2224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s="5" t="s">
        <v>2225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ht="29" x14ac:dyDescent="0.35">
      <c r="A31" s="5" t="s">
        <v>2226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s="5" t="s">
        <v>2227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ht="43.5" x14ac:dyDescent="0.35">
      <c r="A33" s="5" t="s">
        <v>2228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ht="43.5" x14ac:dyDescent="0.35">
      <c r="A34" s="5" t="s">
        <v>2229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ht="43.5" x14ac:dyDescent="0.35">
      <c r="A35" s="5" t="s">
        <v>2230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s="5" t="s">
        <v>2231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s="5" t="s">
        <v>2232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ht="29" x14ac:dyDescent="0.35">
      <c r="A38" s="5" t="s">
        <v>2233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ht="29" x14ac:dyDescent="0.35">
      <c r="A39" s="5" t="s">
        <v>2234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ht="29" x14ac:dyDescent="0.35">
      <c r="A40" s="5" t="s">
        <v>2235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</row>
    <row r="41" spans="1:35" ht="29" x14ac:dyDescent="0.35">
      <c r="A41" s="5" t="s">
        <v>2236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ht="29" x14ac:dyDescent="0.35">
      <c r="A42" s="5" t="s">
        <v>2237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s="5" t="s">
        <v>2238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ht="43.5" x14ac:dyDescent="0.35">
      <c r="A44" s="5" t="s">
        <v>2239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ht="29" x14ac:dyDescent="0.35">
      <c r="A45" s="5" t="s">
        <v>2240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s="5" t="s">
        <v>2241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s="5" t="s">
        <v>2242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ht="29" x14ac:dyDescent="0.35">
      <c r="A48" s="5" t="s">
        <v>2243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s="5" t="s">
        <v>2244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s="5" t="s">
        <v>2245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s="5" t="s">
        <v>2246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ht="29" x14ac:dyDescent="0.35">
      <c r="A52" s="5" t="s">
        <v>2247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s="5" t="s">
        <v>2248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ht="29" x14ac:dyDescent="0.35">
      <c r="A54" s="5" t="s">
        <v>2249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ht="29" x14ac:dyDescent="0.35">
      <c r="A55" s="5" t="s">
        <v>2250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ht="29" x14ac:dyDescent="0.35">
      <c r="A56" s="5" t="s">
        <v>2251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s="5" t="s">
        <v>2252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s="5" t="s">
        <v>2253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s="5" t="s">
        <v>2254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s="5" t="s">
        <v>2255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ht="43.5" x14ac:dyDescent="0.35">
      <c r="A61" s="5" t="s">
        <v>2256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s="5" t="s">
        <v>2257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ht="43.5" x14ac:dyDescent="0.35">
      <c r="A63" s="5" t="s">
        <v>2258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ht="29" x14ac:dyDescent="0.35">
      <c r="A64" s="5" t="s">
        <v>2259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s="5" t="s">
        <v>2260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s="5" t="s">
        <v>2261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ht="29" x14ac:dyDescent="0.35">
      <c r="A67" s="5" t="s">
        <v>2262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s="5" t="s">
        <v>2263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s="5" t="s">
        <v>2264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s="5" t="s">
        <v>2265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</sheetData>
  <conditionalFormatting sqref="A3:XFD262">
    <cfRule type="cellIs" dxfId="99" priority="6" operator="equal">
      <formula>1</formula>
    </cfRule>
    <cfRule type="cellIs" dxfId="98" priority="7" operator="equal">
      <formula>0</formula>
    </cfRule>
    <cfRule type="cellIs" dxfId="97" priority="8" operator="equal">
      <formula>"U"</formula>
    </cfRule>
    <cfRule type="cellIs" dxfId="96" priority="9" operator="equal">
      <formula>"N"</formula>
    </cfRule>
    <cfRule type="cellIs" dxfId="95" priority="10" operator="equal">
      <formula>"Y"</formula>
    </cfRule>
  </conditionalFormatting>
  <hyperlinks>
    <hyperlink ref="A1" location="TopPage!A1" display="Back to main page" xr:uid="{4B316B79-F420-4706-986B-CC2368F885A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493E-F059-4089-948D-48A4F1E75F3B}">
  <dimension ref="A1:AI66"/>
  <sheetViews>
    <sheetView zoomScaleNormal="100" workbookViewId="0">
      <pane xSplit="1" ySplit="2" topLeftCell="B58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29.90625" style="5" customWidth="1"/>
  </cols>
  <sheetData>
    <row r="1" spans="1:35" ht="15" thickBot="1" x14ac:dyDescent="0.4">
      <c r="A1" s="6" t="s">
        <v>31</v>
      </c>
    </row>
    <row r="2" spans="1:35" ht="145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2266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2267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2268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2269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2270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2271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2272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ht="29" x14ac:dyDescent="0.35">
      <c r="A10" s="5" t="s">
        <v>2273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ht="29" x14ac:dyDescent="0.35">
      <c r="A11" s="5" t="s">
        <v>2274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2275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ht="29" x14ac:dyDescent="0.35">
      <c r="A13" s="5" t="s">
        <v>2276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ht="29" x14ac:dyDescent="0.35">
      <c r="A14" s="5" t="s">
        <v>2277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s="5" t="s">
        <v>2278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ht="43.5" x14ac:dyDescent="0.35">
      <c r="A16" s="5" t="s">
        <v>2279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ht="29" x14ac:dyDescent="0.35">
      <c r="A17" s="5" t="s">
        <v>2280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ht="29" x14ac:dyDescent="0.35">
      <c r="A18" s="5" t="s">
        <v>2281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ht="29" x14ac:dyDescent="0.35">
      <c r="A19" s="5" t="s">
        <v>2282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s="5" t="s">
        <v>2283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ht="29" x14ac:dyDescent="0.35">
      <c r="A21" s="5" t="s">
        <v>2284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ht="43.5" x14ac:dyDescent="0.35">
      <c r="A22" s="5" t="s">
        <v>2285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ht="43.5" x14ac:dyDescent="0.35">
      <c r="A23" s="5" t="s">
        <v>2286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ht="29" x14ac:dyDescent="0.35">
      <c r="A24" s="5" t="s">
        <v>2287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ht="29" x14ac:dyDescent="0.35">
      <c r="A25" s="5" t="s">
        <v>2288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ht="58" x14ac:dyDescent="0.35">
      <c r="A26" s="5" t="s">
        <v>2289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ht="29" x14ac:dyDescent="0.35">
      <c r="A27" s="5" t="s">
        <v>2290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ht="29" x14ac:dyDescent="0.35">
      <c r="A28" s="5" t="s">
        <v>2291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ht="29" x14ac:dyDescent="0.35">
      <c r="A29" s="5" t="s">
        <v>2292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ht="29" x14ac:dyDescent="0.35">
      <c r="A30" s="5" t="s">
        <v>2293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ht="29" x14ac:dyDescent="0.35">
      <c r="A31" s="5" t="s">
        <v>2294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s="5" t="s">
        <v>2295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ht="29" x14ac:dyDescent="0.35">
      <c r="A33" s="5" t="s">
        <v>2296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s="5" t="s">
        <v>2297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ht="29" x14ac:dyDescent="0.35">
      <c r="A35" s="5" t="s">
        <v>2298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ht="29" x14ac:dyDescent="0.35">
      <c r="A36" s="5" t="s">
        <v>2299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ht="29" x14ac:dyDescent="0.35">
      <c r="A37" s="5" t="s">
        <v>2300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ht="29" x14ac:dyDescent="0.35">
      <c r="A38" s="5" t="s">
        <v>2301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s="5" t="s">
        <v>2302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s="5" t="s">
        <v>2303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s="5" t="s">
        <v>2304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ht="29" x14ac:dyDescent="0.35">
      <c r="A42" s="5" t="s">
        <v>2305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ht="43.5" x14ac:dyDescent="0.35">
      <c r="A43" s="5" t="s">
        <v>2306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s="5" t="s">
        <v>2307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ht="43.5" x14ac:dyDescent="0.35">
      <c r="A45" s="5" t="s">
        <v>2308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ht="29" x14ac:dyDescent="0.35">
      <c r="A46" s="5" t="s">
        <v>2309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ht="29" x14ac:dyDescent="0.35">
      <c r="A47" s="5" t="s">
        <v>2310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ht="43.5" x14ac:dyDescent="0.35">
      <c r="A48" s="5" t="s">
        <v>2311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ht="43.5" x14ac:dyDescent="0.35">
      <c r="A49" s="5" t="s">
        <v>2312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ht="43.5" x14ac:dyDescent="0.35">
      <c r="A50" s="5" t="s">
        <v>2313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ht="29" x14ac:dyDescent="0.35">
      <c r="A51" s="5" t="s">
        <v>2314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ht="29" x14ac:dyDescent="0.35">
      <c r="A52" s="5" t="s">
        <v>2315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ht="43.5" x14ac:dyDescent="0.35">
      <c r="A53" s="5" t="s">
        <v>2316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ht="43.5" x14ac:dyDescent="0.35">
      <c r="A54" s="5" t="s">
        <v>2317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ht="43.5" x14ac:dyDescent="0.35">
      <c r="A55" s="5" t="s">
        <v>2318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s="5" t="s">
        <v>2319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s="5" t="s">
        <v>2320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s="5" t="s">
        <v>2321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s="5" t="s">
        <v>2322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ht="29" x14ac:dyDescent="0.35">
      <c r="A60" s="5" t="s">
        <v>2323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ht="29" x14ac:dyDescent="0.35">
      <c r="A61" s="5" t="s">
        <v>2324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ht="29" x14ac:dyDescent="0.35">
      <c r="A62" s="5" t="s">
        <v>2325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ht="43.5" x14ac:dyDescent="0.35">
      <c r="A63" s="5" t="s">
        <v>2326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ht="29" x14ac:dyDescent="0.35">
      <c r="A64" s="5" t="s">
        <v>2327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ht="29" x14ac:dyDescent="0.35">
      <c r="A65" s="5" t="s">
        <v>2328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s="5" t="s">
        <v>11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</sheetData>
  <conditionalFormatting sqref="A3:XFD262">
    <cfRule type="cellIs" dxfId="94" priority="6" operator="equal">
      <formula>1</formula>
    </cfRule>
    <cfRule type="cellIs" dxfId="93" priority="7" operator="equal">
      <formula>0</formula>
    </cfRule>
    <cfRule type="cellIs" dxfId="92" priority="8" operator="equal">
      <formula>"U"</formula>
    </cfRule>
    <cfRule type="cellIs" dxfId="91" priority="9" operator="equal">
      <formula>"N"</formula>
    </cfRule>
    <cfRule type="cellIs" dxfId="90" priority="10" operator="equal">
      <formula>"Y"</formula>
    </cfRule>
  </conditionalFormatting>
  <hyperlinks>
    <hyperlink ref="A1" location="TopPage!A1" display="Back to main page" xr:uid="{DE5BDD6B-A6F4-4478-8AD0-5DDB8D58B735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F7FFA-575C-498D-B244-6D0B7D3FB328}">
  <dimension ref="A1:AI51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2.08984375" style="5" customWidth="1"/>
    <col min="2" max="35" width="12.453125" customWidth="1"/>
  </cols>
  <sheetData>
    <row r="1" spans="1:35" ht="15" thickBot="1" x14ac:dyDescent="0.4">
      <c r="A1" s="6" t="s">
        <v>31</v>
      </c>
    </row>
    <row r="2" spans="1:35" ht="102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2329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2330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2331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2332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ht="43.5" x14ac:dyDescent="0.35">
      <c r="A7" s="5" t="s">
        <v>2333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2334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2335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ht="29" x14ac:dyDescent="0.35">
      <c r="A10" s="5" t="s">
        <v>2336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2337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2338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s="5" t="s">
        <v>2339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ht="29" x14ac:dyDescent="0.35">
      <c r="A14" s="5" t="s">
        <v>2340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ht="43.5" x14ac:dyDescent="0.35">
      <c r="A15" s="5" t="s">
        <v>2341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2342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ht="29" x14ac:dyDescent="0.35">
      <c r="A17" s="5" t="s">
        <v>2343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s="5" t="s">
        <v>2344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ht="29" x14ac:dyDescent="0.35">
      <c r="A19" s="5" t="s">
        <v>2345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ht="29" x14ac:dyDescent="0.35">
      <c r="A20" s="5" t="s">
        <v>2346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ht="29" x14ac:dyDescent="0.35">
      <c r="A21" s="5" t="s">
        <v>2347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s="5" t="s">
        <v>2348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s="5" t="s">
        <v>2349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s="5" t="s">
        <v>2350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ht="29" x14ac:dyDescent="0.35">
      <c r="A25" s="5" t="s">
        <v>2351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s="5" t="s">
        <v>2352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s="5" t="s">
        <v>2353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ht="29" x14ac:dyDescent="0.35">
      <c r="A28" s="5" t="s">
        <v>2354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s="5" t="s">
        <v>2355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ht="29" x14ac:dyDescent="0.35">
      <c r="A30" s="5" t="s">
        <v>2356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ht="29" x14ac:dyDescent="0.35">
      <c r="A31" s="5" t="s">
        <v>2357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s="5" t="s">
        <v>2358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ht="29" x14ac:dyDescent="0.35">
      <c r="A33" s="5" t="s">
        <v>2359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s="5" t="s">
        <v>2360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ht="29" x14ac:dyDescent="0.35">
      <c r="A35" s="5" t="s">
        <v>2361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s="5" t="s">
        <v>2362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s="5" t="s">
        <v>2363</v>
      </c>
      <c r="B37">
        <v>0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ht="29" x14ac:dyDescent="0.35">
      <c r="A38" s="5" t="s">
        <v>2364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s="5" t="s">
        <v>2365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s="5" t="s">
        <v>2366</v>
      </c>
      <c r="B40">
        <v>0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ht="29" x14ac:dyDescent="0.35">
      <c r="A41" s="5" t="s">
        <v>2367</v>
      </c>
      <c r="B41">
        <v>0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s="5" t="s">
        <v>2368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ht="29" x14ac:dyDescent="0.35">
      <c r="A43" s="5" t="s">
        <v>2369</v>
      </c>
      <c r="B43">
        <v>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ht="29" x14ac:dyDescent="0.35">
      <c r="A44" s="5" t="s">
        <v>2370</v>
      </c>
      <c r="B44">
        <v>0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ht="29" x14ac:dyDescent="0.35">
      <c r="A45" s="5" t="s">
        <v>2371</v>
      </c>
      <c r="B45">
        <v>0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s="5" t="s">
        <v>2372</v>
      </c>
      <c r="B46">
        <v>0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ht="29" x14ac:dyDescent="0.35">
      <c r="A47" s="5" t="s">
        <v>2373</v>
      </c>
      <c r="B47">
        <v>0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ht="29" x14ac:dyDescent="0.35">
      <c r="A48" s="5" t="s">
        <v>2374</v>
      </c>
      <c r="B48">
        <v>0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ht="29" x14ac:dyDescent="0.35">
      <c r="A49" s="5" t="s">
        <v>2375</v>
      </c>
      <c r="B49">
        <v>0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s="5" t="s">
        <v>2376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s="5" t="s">
        <v>2377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</sheetData>
  <conditionalFormatting sqref="A3:XFD262">
    <cfRule type="cellIs" dxfId="89" priority="6" operator="equal">
      <formula>1</formula>
    </cfRule>
    <cfRule type="cellIs" dxfId="88" priority="7" operator="equal">
      <formula>0</formula>
    </cfRule>
    <cfRule type="cellIs" dxfId="87" priority="8" operator="equal">
      <formula>"U"</formula>
    </cfRule>
    <cfRule type="cellIs" dxfId="86" priority="9" operator="equal">
      <formula>"N"</formula>
    </cfRule>
    <cfRule type="cellIs" dxfId="85" priority="10" operator="equal">
      <formula>"Y"</formula>
    </cfRule>
  </conditionalFormatting>
  <hyperlinks>
    <hyperlink ref="A1" location="TopPage!A1" display="Back to main page" xr:uid="{858A15E3-88DE-4009-9112-C5648C5D4E2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66D4-97D1-4767-9E37-8589D5F4E190}">
  <dimension ref="A1:AI43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29.54296875" style="5" customWidth="1"/>
  </cols>
  <sheetData>
    <row r="1" spans="1:35" ht="15" thickBot="1" x14ac:dyDescent="0.4">
      <c r="A1" s="6" t="s">
        <v>31</v>
      </c>
    </row>
    <row r="2" spans="1:35" ht="145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2378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2379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2380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2381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ht="29" x14ac:dyDescent="0.35">
      <c r="A7" s="5" t="s">
        <v>2382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2383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ht="29" x14ac:dyDescent="0.35">
      <c r="A9" s="5" t="s">
        <v>2384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ht="43.5" x14ac:dyDescent="0.35">
      <c r="A10" s="5" t="s">
        <v>2385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ht="29" x14ac:dyDescent="0.35">
      <c r="A11" s="5" t="s">
        <v>2386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ht="29" x14ac:dyDescent="0.35">
      <c r="A12" s="5" t="s">
        <v>2387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s="5" t="s">
        <v>2388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ht="43.5" x14ac:dyDescent="0.35">
      <c r="A14" s="5" t="s">
        <v>2389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ht="29" x14ac:dyDescent="0.35">
      <c r="A15" s="5" t="s">
        <v>2390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ht="29" x14ac:dyDescent="0.35">
      <c r="A16" s="5" t="s">
        <v>2391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ht="29" x14ac:dyDescent="0.35">
      <c r="A17" s="5" t="s">
        <v>2392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s="5" t="s">
        <v>2393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ht="29" x14ac:dyDescent="0.35">
      <c r="A19" s="5" t="s">
        <v>2394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ht="29" x14ac:dyDescent="0.35">
      <c r="A20" s="5" t="s">
        <v>2395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s="5" t="s">
        <v>2396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ht="43.5" x14ac:dyDescent="0.35">
      <c r="A22" s="5" t="s">
        <v>2397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ht="29" x14ac:dyDescent="0.35">
      <c r="A23" s="5" t="s">
        <v>2398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ht="29" x14ac:dyDescent="0.35">
      <c r="A24" s="5" t="s">
        <v>2399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ht="29" x14ac:dyDescent="0.35">
      <c r="A25" s="5" t="s">
        <v>2400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ht="29" x14ac:dyDescent="0.35">
      <c r="A26" s="5" t="s">
        <v>2401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ht="29" x14ac:dyDescent="0.35">
      <c r="A27" s="5" t="s">
        <v>2402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ht="29" x14ac:dyDescent="0.35">
      <c r="A28" s="5" t="s">
        <v>2403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ht="43.5" x14ac:dyDescent="0.35">
      <c r="A29" s="5" t="s">
        <v>2404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ht="43.5" x14ac:dyDescent="0.35">
      <c r="A30" s="5" t="s">
        <v>2405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ht="43.5" x14ac:dyDescent="0.35">
      <c r="A31" s="5" t="s">
        <v>2406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s="5" t="s">
        <v>2407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s="5" t="s">
        <v>2408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ht="29" x14ac:dyDescent="0.35">
      <c r="A34" s="5" t="s">
        <v>2409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ht="29" x14ac:dyDescent="0.35">
      <c r="A35" s="5" t="s">
        <v>2410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ht="29" x14ac:dyDescent="0.35">
      <c r="A36" s="5" t="s">
        <v>2411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ht="29" x14ac:dyDescent="0.35">
      <c r="A37" s="5" t="s">
        <v>2412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ht="29" x14ac:dyDescent="0.35">
      <c r="A38" s="5" t="s">
        <v>2413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s="5" t="s">
        <v>2414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ht="29" x14ac:dyDescent="0.35">
      <c r="A40" s="5" t="s">
        <v>2415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s="5" t="s">
        <v>2416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ht="29" x14ac:dyDescent="0.35">
      <c r="A42" s="5" t="s">
        <v>2417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s="5" t="s">
        <v>2418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</sheetData>
  <conditionalFormatting sqref="A3:XFD262">
    <cfRule type="cellIs" dxfId="84" priority="6" operator="equal">
      <formula>1</formula>
    </cfRule>
    <cfRule type="cellIs" dxfId="83" priority="7" operator="equal">
      <formula>0</formula>
    </cfRule>
    <cfRule type="cellIs" dxfId="82" priority="8" operator="equal">
      <formula>"U"</formula>
    </cfRule>
    <cfRule type="cellIs" dxfId="81" priority="9" operator="equal">
      <formula>"N"</formula>
    </cfRule>
    <cfRule type="cellIs" dxfId="80" priority="10" operator="equal">
      <formula>"Y"</formula>
    </cfRule>
  </conditionalFormatting>
  <hyperlinks>
    <hyperlink ref="A1" location="TopPage!A1" display="Back to main page" xr:uid="{8FC7A06C-DFE5-4D36-8B3C-9EED72580FC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6224-8450-4BD1-AC64-350A3EBEF8D5}">
  <dimension ref="A1:AI4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8.453125" style="5" customWidth="1"/>
    <col min="2" max="35" width="16.90625" customWidth="1"/>
  </cols>
  <sheetData>
    <row r="1" spans="1:35" ht="15" thickBot="1" x14ac:dyDescent="0.4">
      <c r="A1" s="6" t="s">
        <v>31</v>
      </c>
    </row>
    <row r="2" spans="1:35" ht="73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2419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2420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2421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2422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2423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2424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</row>
    <row r="9" spans="1:35" ht="29" x14ac:dyDescent="0.35">
      <c r="A9" s="5" t="s">
        <v>2425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2426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2427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2428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s="5" t="s">
        <v>2429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s="5" t="s">
        <v>2430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s="5" t="s">
        <v>2431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2432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</row>
    <row r="17" spans="1:35" ht="29" x14ac:dyDescent="0.35">
      <c r="A17" s="5" t="s">
        <v>2433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s="5" t="s">
        <v>2434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s="5" t="s">
        <v>2435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s="5" t="s">
        <v>2436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s="5" t="s">
        <v>2437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s="5" t="s">
        <v>2438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s="5" t="s">
        <v>825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s="5" t="s">
        <v>2439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s="5" t="s">
        <v>2440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s="5" t="s">
        <v>2441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</row>
    <row r="27" spans="1:35" ht="29" x14ac:dyDescent="0.35">
      <c r="A27" s="5" t="s">
        <v>2442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s="5" t="s">
        <v>2443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s="5" t="s">
        <v>2444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s="5" t="s">
        <v>827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s="5" t="s">
        <v>2445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s="5" t="s">
        <v>2446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s="5" t="s">
        <v>2447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s="5" t="s">
        <v>2448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s="5" t="s">
        <v>2449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s="5" t="s">
        <v>757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</row>
    <row r="37" spans="1:35" ht="29" x14ac:dyDescent="0.35">
      <c r="A37" s="5" t="s">
        <v>2450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</row>
    <row r="38" spans="1:35" ht="29" x14ac:dyDescent="0.35">
      <c r="A38" s="5" t="s">
        <v>811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</row>
    <row r="39" spans="1:35" ht="29" x14ac:dyDescent="0.35">
      <c r="A39" s="5" t="s">
        <v>812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s="5" t="s">
        <v>2451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s="5" t="s">
        <v>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</row>
  </sheetData>
  <conditionalFormatting sqref="A3:XFD262">
    <cfRule type="cellIs" dxfId="79" priority="6" operator="equal">
      <formula>1</formula>
    </cfRule>
    <cfRule type="cellIs" dxfId="78" priority="7" operator="equal">
      <formula>0</formula>
    </cfRule>
    <cfRule type="cellIs" dxfId="77" priority="8" operator="equal">
      <formula>"U"</formula>
    </cfRule>
    <cfRule type="cellIs" dxfId="76" priority="9" operator="equal">
      <formula>"N"</formula>
    </cfRule>
    <cfRule type="cellIs" dxfId="75" priority="10" operator="equal">
      <formula>"Y"</formula>
    </cfRule>
  </conditionalFormatting>
  <hyperlinks>
    <hyperlink ref="A1" location="TopPage!A1" display="Back to main page" xr:uid="{EDDB5623-8CB2-4D86-89CC-C2CCEE969DE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6406-FF45-4BB1-B19D-9A24FB3E4CDC}">
  <dimension ref="A1:AI40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1.90625" style="5" customWidth="1"/>
    <col min="2" max="35" width="20.90625" customWidth="1"/>
  </cols>
  <sheetData>
    <row r="1" spans="1:35" ht="15" thickBot="1" x14ac:dyDescent="0.4">
      <c r="A1" s="6" t="s">
        <v>31</v>
      </c>
    </row>
    <row r="2" spans="1:35" ht="58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2452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ht="29" x14ac:dyDescent="0.35">
      <c r="A4" s="5" t="s">
        <v>2453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ht="29" x14ac:dyDescent="0.35">
      <c r="A5" s="5" t="s">
        <v>2454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ht="29" x14ac:dyDescent="0.35">
      <c r="A6" s="5" t="s">
        <v>2455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2002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2456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ht="29" x14ac:dyDescent="0.35">
      <c r="A9" s="5" t="s">
        <v>2457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2458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2459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ht="29" x14ac:dyDescent="0.35">
      <c r="A12" s="5" t="s">
        <v>2460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s="5" t="s">
        <v>2461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s="5" t="s">
        <v>2462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s="5" t="s">
        <v>2463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2464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ht="29" x14ac:dyDescent="0.35">
      <c r="A17" s="5" t="s">
        <v>2465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ht="29" x14ac:dyDescent="0.35">
      <c r="A18" s="5" t="s">
        <v>2466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ht="29" x14ac:dyDescent="0.35">
      <c r="A19" s="5" t="s">
        <v>2467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ht="43.5" x14ac:dyDescent="0.35">
      <c r="A20" s="5" t="s">
        <v>2468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s="5" t="s">
        <v>2469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s="5" t="s">
        <v>2005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s="5" t="s">
        <v>2006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ht="29" x14ac:dyDescent="0.35">
      <c r="A24" s="5" t="s">
        <v>2007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s="5" t="s">
        <v>2470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s="5" t="s">
        <v>2471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s="5" t="s">
        <v>2472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ht="29" x14ac:dyDescent="0.35">
      <c r="A28" s="5" t="s">
        <v>2473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s="5" t="s">
        <v>2474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ht="29" x14ac:dyDescent="0.35">
      <c r="A30" s="5" t="s">
        <v>2475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ht="29" x14ac:dyDescent="0.35">
      <c r="A31" s="5" t="s">
        <v>2476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ht="29" x14ac:dyDescent="0.35">
      <c r="A32" s="5" t="s">
        <v>2477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s="5" t="s">
        <v>2478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ht="29" x14ac:dyDescent="0.35">
      <c r="A34" s="5" t="s">
        <v>2479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s="5" t="s">
        <v>2480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s="5" t="s">
        <v>2481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s="5" t="s">
        <v>2482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s="5" t="s">
        <v>2483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s="5" t="s">
        <v>2484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s="5" t="s">
        <v>15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</sheetData>
  <conditionalFormatting sqref="A3:XFD262">
    <cfRule type="cellIs" dxfId="74" priority="6" operator="equal">
      <formula>1</formula>
    </cfRule>
    <cfRule type="cellIs" dxfId="73" priority="7" operator="equal">
      <formula>0</formula>
    </cfRule>
    <cfRule type="cellIs" dxfId="72" priority="8" operator="equal">
      <formula>"U"</formula>
    </cfRule>
    <cfRule type="cellIs" dxfId="71" priority="9" operator="equal">
      <formula>"N"</formula>
    </cfRule>
    <cfRule type="cellIs" dxfId="70" priority="10" operator="equal">
      <formula>"Y"</formula>
    </cfRule>
  </conditionalFormatting>
  <hyperlinks>
    <hyperlink ref="A1" location="TopPage!A1" display="Back to main page" xr:uid="{1D1B39F0-8ECA-4186-9BE5-62C3220D777E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EC117-69EA-4813-8AF0-55A68D3BAA0B}">
  <dimension ref="A1:AI5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45.90625" style="5" customWidth="1"/>
    <col min="2" max="35" width="15.453125" customWidth="1"/>
  </cols>
  <sheetData>
    <row r="1" spans="1:35" ht="15" thickBot="1" x14ac:dyDescent="0.4">
      <c r="A1" s="6" t="s">
        <v>31</v>
      </c>
    </row>
    <row r="2" spans="1:35" ht="87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2485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ht="29" x14ac:dyDescent="0.35">
      <c r="A4" s="5" t="s">
        <v>2486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2487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ht="29" x14ac:dyDescent="0.35">
      <c r="A6" s="5" t="s">
        <v>2488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2489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2490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2491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2492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2493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2494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s="5" t="s">
        <v>2495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s="5" t="s">
        <v>2496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s="5" t="s">
        <v>2497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2498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s="5" t="s">
        <v>2499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s="5" t="s">
        <v>2500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ht="29" x14ac:dyDescent="0.35">
      <c r="A19" s="5" t="s">
        <v>2501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s="5" t="s">
        <v>2502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ht="29" x14ac:dyDescent="0.35">
      <c r="A21" s="5" t="s">
        <v>2503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s="5" t="s">
        <v>2504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s="5" t="s">
        <v>2505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s="5" t="s">
        <v>2506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s="5" t="s">
        <v>2507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s="5" t="s">
        <v>2508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s="5" t="s">
        <v>2509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s="5" t="s">
        <v>2510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ht="29" x14ac:dyDescent="0.35">
      <c r="A29" s="5" t="s">
        <v>2511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ht="29" x14ac:dyDescent="0.35">
      <c r="A30" s="5" t="s">
        <v>2512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s="5" t="s">
        <v>2513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s="5" t="s">
        <v>2514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ht="29" x14ac:dyDescent="0.35">
      <c r="A33" s="5" t="s">
        <v>2515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s="5" t="s">
        <v>2516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s="5" t="s">
        <v>2517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s="5" t="s">
        <v>2518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s="5" t="s">
        <v>2519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s="5" t="s">
        <v>2520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s="5" t="s">
        <v>2521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s="5" t="s">
        <v>2522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s="5" t="s">
        <v>2523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s="5" t="s">
        <v>2524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ht="29" x14ac:dyDescent="0.35">
      <c r="A43" s="5" t="s">
        <v>2525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s="5" t="s">
        <v>2526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ht="29" x14ac:dyDescent="0.35">
      <c r="A45" s="5" t="s">
        <v>2527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s="5" t="s">
        <v>2528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s="5" t="s">
        <v>2529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s="5" t="s">
        <v>2530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s="5" t="s">
        <v>2531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s="5" t="s">
        <v>2532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s="5" t="s">
        <v>2533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ht="29" x14ac:dyDescent="0.35">
      <c r="A52" s="5" t="s">
        <v>2534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ht="29" x14ac:dyDescent="0.35">
      <c r="A53" s="5" t="s">
        <v>2535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ht="29" x14ac:dyDescent="0.35">
      <c r="A54" s="5" t="s">
        <v>2536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s="5" t="s">
        <v>16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</sheetData>
  <conditionalFormatting sqref="A3:XFD262">
    <cfRule type="cellIs" dxfId="69" priority="6" operator="equal">
      <formula>1</formula>
    </cfRule>
    <cfRule type="cellIs" dxfId="68" priority="7" operator="equal">
      <formula>0</formula>
    </cfRule>
    <cfRule type="cellIs" dxfId="67" priority="8" operator="equal">
      <formula>"U"</formula>
    </cfRule>
    <cfRule type="cellIs" dxfId="66" priority="9" operator="equal">
      <formula>"N"</formula>
    </cfRule>
    <cfRule type="cellIs" dxfId="65" priority="10" operator="equal">
      <formula>"Y"</formula>
    </cfRule>
  </conditionalFormatting>
  <hyperlinks>
    <hyperlink ref="A1" location="TopPage!A1" display="Back to main page" xr:uid="{8B05D7CE-76D9-45DF-BF26-D8CBE18E2BE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4A18-7850-43B8-9A3B-104CE3707559}">
  <dimension ref="A1:AI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2.08984375" style="5" customWidth="1"/>
    <col min="7" max="35" width="13.08984375" customWidth="1"/>
  </cols>
  <sheetData>
    <row r="1" spans="1:35" ht="15" thickBot="1" x14ac:dyDescent="0.4">
      <c r="A1" s="6" t="s">
        <v>31</v>
      </c>
    </row>
    <row r="2" spans="1:35" ht="116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2537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1754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ht="29" x14ac:dyDescent="0.35">
      <c r="A5" s="5" t="s">
        <v>2538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ht="29" x14ac:dyDescent="0.35">
      <c r="A6" s="5" t="s">
        <v>1721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ht="29" x14ac:dyDescent="0.35">
      <c r="A7" s="5" t="s">
        <v>2539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ht="29" x14ac:dyDescent="0.35">
      <c r="A8" s="5" t="s">
        <v>2540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1757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ht="29" x14ac:dyDescent="0.35">
      <c r="A10" s="5" t="s">
        <v>1758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1759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1760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ht="29" x14ac:dyDescent="0.35">
      <c r="A13" s="5" t="s">
        <v>1761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s="5" t="s">
        <v>1762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s="5" t="s">
        <v>1763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1764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s="5" t="s">
        <v>1765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ht="29" x14ac:dyDescent="0.35">
      <c r="A18" s="5" t="s">
        <v>1766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s="5" t="s">
        <v>1767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s="5" t="s">
        <v>17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</sheetData>
  <conditionalFormatting sqref="A3:XFD262">
    <cfRule type="cellIs" dxfId="64" priority="6" operator="equal">
      <formula>1</formula>
    </cfRule>
    <cfRule type="cellIs" dxfId="63" priority="7" operator="equal">
      <formula>0</formula>
    </cfRule>
    <cfRule type="cellIs" dxfId="62" priority="8" operator="equal">
      <formula>"U"</formula>
    </cfRule>
    <cfRule type="cellIs" dxfId="61" priority="9" operator="equal">
      <formula>"N"</formula>
    </cfRule>
    <cfRule type="cellIs" dxfId="60" priority="10" operator="equal">
      <formula>"Y"</formula>
    </cfRule>
  </conditionalFormatting>
  <hyperlinks>
    <hyperlink ref="A1" location="TopPage!A1" display="Back to main page" xr:uid="{F768456D-7FE1-4E32-9CBA-EF61B5A6631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6A803-3217-4CFB-8257-1BC2F73DD23D}">
  <dimension ref="A1:AI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46.453125" style="5" customWidth="1"/>
  </cols>
  <sheetData>
    <row r="1" spans="1:35" ht="15" thickBot="1" x14ac:dyDescent="0.4">
      <c r="A1" s="6" t="s">
        <v>31</v>
      </c>
    </row>
    <row r="2" spans="1:35" ht="145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2541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2542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2543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2544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2545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2546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2547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1245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88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2548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ht="29" x14ac:dyDescent="0.35">
      <c r="A13" s="5" t="s">
        <v>2549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s="5" t="s">
        <v>2550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ht="29" x14ac:dyDescent="0.35">
      <c r="A15" s="5" t="s">
        <v>2551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ht="29" x14ac:dyDescent="0.35">
      <c r="A16" s="5" t="s">
        <v>2552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s="5" t="s">
        <v>2553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ht="29" x14ac:dyDescent="0.35">
      <c r="A18" s="5" t="s">
        <v>2554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s="5" t="s">
        <v>2555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s="5" t="s">
        <v>2556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s="5" t="s">
        <v>2608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</sheetData>
  <conditionalFormatting sqref="A3:XFD262">
    <cfRule type="cellIs" dxfId="59" priority="6" operator="equal">
      <formula>1</formula>
    </cfRule>
    <cfRule type="cellIs" dxfId="58" priority="7" operator="equal">
      <formula>0</formula>
    </cfRule>
    <cfRule type="cellIs" dxfId="57" priority="8" operator="equal">
      <formula>"U"</formula>
    </cfRule>
    <cfRule type="cellIs" dxfId="56" priority="9" operator="equal">
      <formula>"N"</formula>
    </cfRule>
    <cfRule type="cellIs" dxfId="55" priority="10" operator="equal">
      <formula>"Y"</formula>
    </cfRule>
  </conditionalFormatting>
  <hyperlinks>
    <hyperlink ref="A1" location="TopPage!A1" display="Back to main page" xr:uid="{9B6A05E4-0E65-497C-83F2-9527EB2A17E8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4C57-1C30-4B53-BBFB-0ED8A549F1DB}">
  <dimension ref="A1:AI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7.08984375" style="5" customWidth="1"/>
    <col min="7" max="35" width="15.90625" customWidth="1"/>
  </cols>
  <sheetData>
    <row r="1" spans="1:35" ht="15" thickBot="1" x14ac:dyDescent="0.4">
      <c r="A1" s="6" t="s">
        <v>31</v>
      </c>
    </row>
    <row r="2" spans="1:35" ht="116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2557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2558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2559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2560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2561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2562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2563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2564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2565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2566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s="5" t="s">
        <v>2567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ht="29" x14ac:dyDescent="0.35">
      <c r="A14" s="5" t="s">
        <v>2568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ht="29" x14ac:dyDescent="0.35">
      <c r="A15" s="5" t="s">
        <v>2569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s="5" t="s">
        <v>2570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s="5" t="s">
        <v>2571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s="5" t="s">
        <v>2572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s="5" t="s">
        <v>2573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s="5" t="s">
        <v>2574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s="5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</row>
  </sheetData>
  <conditionalFormatting sqref="A3:XFD262">
    <cfRule type="cellIs" dxfId="54" priority="6" operator="equal">
      <formula>1</formula>
    </cfRule>
    <cfRule type="cellIs" dxfId="53" priority="7" operator="equal">
      <formula>0</formula>
    </cfRule>
    <cfRule type="cellIs" dxfId="52" priority="8" operator="equal">
      <formula>"U"</formula>
    </cfRule>
    <cfRule type="cellIs" dxfId="51" priority="9" operator="equal">
      <formula>"N"</formula>
    </cfRule>
    <cfRule type="cellIs" dxfId="50" priority="10" operator="equal">
      <formula>"Y"</formula>
    </cfRule>
  </conditionalFormatting>
  <hyperlinks>
    <hyperlink ref="A1" location="TopPage!A1" display="Back to main page" xr:uid="{5F886D95-E2BE-48E6-93B5-28237FF3CE4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C6D6-0E9B-4805-90B7-1218DA59B94A}">
  <dimension ref="A1:AI23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6.54296875" style="5" customWidth="1"/>
    <col min="2" max="35" width="18.90625" customWidth="1"/>
  </cols>
  <sheetData>
    <row r="1" spans="1:35" ht="15" thickBot="1" x14ac:dyDescent="0.4">
      <c r="A1" s="6" t="s">
        <v>31</v>
      </c>
    </row>
    <row r="2" spans="1:35" ht="73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2575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ht="29" x14ac:dyDescent="0.35">
      <c r="A4" s="5" t="s">
        <v>2576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2577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2578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2579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s="5" t="s">
        <v>2580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2581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2582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s="5" t="s">
        <v>2583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s="5" t="s">
        <v>2584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ht="29" x14ac:dyDescent="0.35">
      <c r="A13" s="5" t="s">
        <v>2585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ht="29" x14ac:dyDescent="0.35">
      <c r="A14" s="5" t="s">
        <v>2586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ht="29" x14ac:dyDescent="0.35">
      <c r="A15" s="5" t="s">
        <v>2587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ht="29" x14ac:dyDescent="0.35">
      <c r="A16" s="5" t="s">
        <v>2588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ht="29" x14ac:dyDescent="0.35">
      <c r="A17" s="5" t="s">
        <v>2589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s="5" t="s">
        <v>2590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s="5" t="s">
        <v>2591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ht="29" x14ac:dyDescent="0.35">
      <c r="A20" s="5" t="s">
        <v>2592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ht="29" x14ac:dyDescent="0.35">
      <c r="A21" s="5" t="s">
        <v>2593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ht="29" x14ac:dyDescent="0.35">
      <c r="A22" s="5" t="s">
        <v>2594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s="5" t="s">
        <v>2607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</sheetData>
  <conditionalFormatting sqref="A3:XFD262">
    <cfRule type="cellIs" dxfId="49" priority="6" operator="equal">
      <formula>1</formula>
    </cfRule>
    <cfRule type="cellIs" dxfId="48" priority="7" operator="equal">
      <formula>0</formula>
    </cfRule>
    <cfRule type="cellIs" dxfId="47" priority="8" operator="equal">
      <formula>"U"</formula>
    </cfRule>
    <cfRule type="cellIs" dxfId="46" priority="9" operator="equal">
      <formula>"N"</formula>
    </cfRule>
    <cfRule type="cellIs" dxfId="45" priority="10" operator="equal">
      <formula>"Y"</formula>
    </cfRule>
  </conditionalFormatting>
  <hyperlinks>
    <hyperlink ref="A1" location="TopPage!A1" display="Back to main page" xr:uid="{CB0D5C6C-6407-41D4-B7EC-15A2DA35227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337F-6446-4ECA-9C7D-B7798511CFD8}">
  <dimension ref="A1:AI15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ColWidth="8.90625" defaultRowHeight="14.5" x14ac:dyDescent="0.35"/>
  <cols>
    <col min="1" max="1" width="34.90625" style="9" customWidth="1"/>
    <col min="2" max="35" width="14.453125" style="8" customWidth="1"/>
    <col min="36" max="16384" width="8.90625" style="8"/>
  </cols>
  <sheetData>
    <row r="1" spans="1:35" ht="15" thickBot="1" x14ac:dyDescent="0.4">
      <c r="A1" s="7" t="s">
        <v>31</v>
      </c>
    </row>
    <row r="2" spans="1:35" customFormat="1" ht="102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9" t="s">
        <v>2595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1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</row>
    <row r="4" spans="1:35" x14ac:dyDescent="0.35">
      <c r="A4" s="9" t="s">
        <v>2596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</row>
    <row r="5" spans="1:35" ht="29" x14ac:dyDescent="0.35">
      <c r="A5" s="9" t="s">
        <v>2597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</row>
    <row r="6" spans="1:35" ht="29" x14ac:dyDescent="0.35">
      <c r="A6" s="9" t="s">
        <v>2598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</row>
    <row r="7" spans="1:35" x14ac:dyDescent="0.35">
      <c r="A7" s="9" t="s">
        <v>2599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9" x14ac:dyDescent="0.35">
      <c r="A8" s="9" t="s">
        <v>2600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29" x14ac:dyDescent="0.35">
      <c r="A9" s="9" t="s">
        <v>2601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x14ac:dyDescent="0.35">
      <c r="A10" s="9" t="s">
        <v>2602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x14ac:dyDescent="0.35">
      <c r="A11" s="9" t="s">
        <v>2603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29" x14ac:dyDescent="0.35">
      <c r="A12" s="9" t="s">
        <v>2604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29" x14ac:dyDescent="0.35">
      <c r="A13" s="9" t="s">
        <v>2605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29" x14ac:dyDescent="0.35">
      <c r="A14" s="9" t="s">
        <v>2606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x14ac:dyDescent="0.35">
      <c r="A15" s="9" t="s">
        <v>21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1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</sheetData>
  <conditionalFormatting sqref="A3:XFD262">
    <cfRule type="cellIs" dxfId="44" priority="6" operator="equal">
      <formula>1</formula>
    </cfRule>
    <cfRule type="cellIs" dxfId="43" priority="7" operator="equal">
      <formula>0</formula>
    </cfRule>
    <cfRule type="cellIs" dxfId="42" priority="8" operator="equal">
      <formula>"U"</formula>
    </cfRule>
    <cfRule type="cellIs" dxfId="41" priority="9" operator="equal">
      <formula>"N"</formula>
    </cfRule>
    <cfRule type="cellIs" dxfId="40" priority="10" operator="equal">
      <formula>"Y"</formula>
    </cfRule>
  </conditionalFormatting>
  <hyperlinks>
    <hyperlink ref="A1" location="TopPage!A1" display="Back to main page" xr:uid="{51D438D1-287D-4892-9016-AC545A73262D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510D-71B8-457A-9911-8BEDBF75FC62}">
  <dimension ref="A1:AI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28.453125" customWidth="1"/>
    <col min="2" max="35" width="16.54296875" customWidth="1"/>
  </cols>
  <sheetData>
    <row r="1" spans="1:35" ht="15" thickBot="1" x14ac:dyDescent="0.4">
      <c r="A1" s="1" t="s">
        <v>31</v>
      </c>
    </row>
    <row r="2" spans="1:35" ht="73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t="s">
        <v>52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54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55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56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57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58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59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t="s">
        <v>60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t="s">
        <v>61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conditionalFormatting sqref="A3:XFD103">
    <cfRule type="cellIs" dxfId="39" priority="6" operator="equal">
      <formula>1</formula>
    </cfRule>
    <cfRule type="cellIs" dxfId="38" priority="7" operator="equal">
      <formula>0</formula>
    </cfRule>
    <cfRule type="cellIs" dxfId="37" priority="8" operator="equal">
      <formula>"U"</formula>
    </cfRule>
    <cfRule type="cellIs" dxfId="36" priority="9" operator="equal">
      <formula>"N"</formula>
    </cfRule>
    <cfRule type="cellIs" dxfId="35" priority="10" operator="equal">
      <formula>"Y"</formula>
    </cfRule>
  </conditionalFormatting>
  <hyperlinks>
    <hyperlink ref="A1" location="TopPage!A1" display="Back to main page" xr:uid="{C8570CC6-43DD-45DC-B880-8C3292EE79A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41A7-D95A-45D8-8D8D-24FE165F4C77}">
  <dimension ref="A1:AI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23.08984375" customWidth="1"/>
    <col min="2" max="2" width="18.90625" customWidth="1"/>
    <col min="6" max="6" width="11.90625" customWidth="1"/>
  </cols>
  <sheetData>
    <row r="1" spans="1:35" ht="15" thickBot="1" x14ac:dyDescent="0.4">
      <c r="A1" s="1" t="s">
        <v>31</v>
      </c>
    </row>
    <row r="2" spans="1:35" ht="145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t="s">
        <v>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48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t="s">
        <v>50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conditionalFormatting sqref="A3:XFD105">
    <cfRule type="cellIs" dxfId="34" priority="6" operator="equal">
      <formula>1</formula>
    </cfRule>
    <cfRule type="cellIs" dxfId="33" priority="7" operator="equal">
      <formula>0</formula>
    </cfRule>
    <cfRule type="cellIs" dxfId="32" priority="8" operator="equal">
      <formula>"U"</formula>
    </cfRule>
    <cfRule type="cellIs" dxfId="31" priority="9" operator="equal">
      <formula>"N"</formula>
    </cfRule>
    <cfRule type="cellIs" dxfId="30" priority="10" operator="equal">
      <formula>"Y"</formula>
    </cfRule>
  </conditionalFormatting>
  <hyperlinks>
    <hyperlink ref="A1" location="TopPage!A1" display="Back to main page" xr:uid="{7BDF4FEE-E1F1-45CB-BC27-8EBFEA7C5E49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C075-54EE-47B2-91FA-91CA3D01E908}">
  <dimension ref="A1:AI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4.5" x14ac:dyDescent="0.35"/>
  <cols>
    <col min="1" max="1" width="37.08984375" customWidth="1"/>
    <col min="2" max="35" width="14.54296875" customWidth="1"/>
  </cols>
  <sheetData>
    <row r="1" spans="1:35" ht="15" thickBot="1" x14ac:dyDescent="0.4">
      <c r="A1" s="1" t="s">
        <v>31</v>
      </c>
    </row>
    <row r="2" spans="1:35" ht="102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</row>
    <row r="4" spans="1:35" x14ac:dyDescent="0.3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</row>
    <row r="5" spans="1:35" x14ac:dyDescent="0.35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</row>
    <row r="6" spans="1:35" x14ac:dyDescent="0.35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</row>
    <row r="7" spans="1:35" x14ac:dyDescent="0.35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</row>
    <row r="8" spans="1:35" x14ac:dyDescent="0.35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</row>
    <row r="9" spans="1:35" x14ac:dyDescent="0.35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</row>
    <row r="10" spans="1:35" x14ac:dyDescent="0.35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</row>
    <row r="11" spans="1:35" x14ac:dyDescent="0.35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0</v>
      </c>
    </row>
    <row r="12" spans="1:35" x14ac:dyDescent="0.35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</row>
  </sheetData>
  <conditionalFormatting sqref="B1:XFD1 A3:XFD1048576">
    <cfRule type="cellIs" dxfId="29" priority="10" operator="equal">
      <formula>1</formula>
    </cfRule>
    <cfRule type="cellIs" dxfId="28" priority="11" operator="equal">
      <formula>0</formula>
    </cfRule>
    <cfRule type="cellIs" dxfId="27" priority="13" operator="equal">
      <formula>"U"</formula>
    </cfRule>
    <cfRule type="cellIs" dxfId="26" priority="14" operator="equal">
      <formula>"N"</formula>
    </cfRule>
    <cfRule type="cellIs" dxfId="25" priority="15" operator="equal">
      <formula>"Y"</formula>
    </cfRule>
  </conditionalFormatting>
  <hyperlinks>
    <hyperlink ref="A1" location="TopPage!A1" display="Back to main page" xr:uid="{678BDBBB-3F56-4BF4-AC0B-603D6C033916}"/>
  </hyperlink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6C46-B8C5-4D46-A2C5-1DD1AD29D1CA}">
  <dimension ref="A1:AI10"/>
  <sheetViews>
    <sheetView workbookViewId="0">
      <selection activeCell="A2" sqref="A2:XFD2"/>
    </sheetView>
  </sheetViews>
  <sheetFormatPr defaultRowHeight="14.5" x14ac:dyDescent="0.35"/>
  <cols>
    <col min="1" max="1" width="27.54296875" style="5" customWidth="1"/>
  </cols>
  <sheetData>
    <row r="1" spans="1:35" ht="15" thickBot="1" x14ac:dyDescent="0.4">
      <c r="A1" s="6" t="s">
        <v>31</v>
      </c>
    </row>
    <row r="2" spans="1:35" ht="145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2609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1673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ht="29" x14ac:dyDescent="0.35">
      <c r="A5" s="5" t="s">
        <v>2610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2611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ht="43.5" x14ac:dyDescent="0.35">
      <c r="A7" s="5" t="s">
        <v>2612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ht="29" x14ac:dyDescent="0.35">
      <c r="A8" s="5" t="s">
        <v>2613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s="5" t="s">
        <v>1677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s="5" t="s">
        <v>1678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</sheetData>
  <conditionalFormatting sqref="A3:AI10">
    <cfRule type="cellIs" dxfId="24" priority="6" operator="equal">
      <formula>1</formula>
    </cfRule>
    <cfRule type="cellIs" dxfId="23" priority="7" operator="equal">
      <formula>0</formula>
    </cfRule>
    <cfRule type="cellIs" dxfId="22" priority="8" operator="equal">
      <formula>"U"</formula>
    </cfRule>
    <cfRule type="cellIs" dxfId="21" priority="9" operator="equal">
      <formula>"N"</formula>
    </cfRule>
    <cfRule type="cellIs" dxfId="20" priority="10" operator="equal">
      <formula>"Y"</formula>
    </cfRule>
  </conditionalFormatting>
  <hyperlinks>
    <hyperlink ref="A1" location="TopPage!A1" display="Back to main page" xr:uid="{22BCB860-23BF-4B70-B829-974EEFC573FF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6F65-04B6-4366-A123-95FCD42C8ECB}">
  <dimension ref="A1:AI8"/>
  <sheetViews>
    <sheetView workbookViewId="0">
      <selection activeCell="A2" sqref="A2:XFD2"/>
    </sheetView>
  </sheetViews>
  <sheetFormatPr defaultRowHeight="14.5" x14ac:dyDescent="0.35"/>
  <cols>
    <col min="1" max="1" width="31.6328125" bestFit="1" customWidth="1"/>
  </cols>
  <sheetData>
    <row r="1" spans="1:35" ht="15" thickBot="1" x14ac:dyDescent="0.4">
      <c r="A1" s="1" t="s">
        <v>31</v>
      </c>
    </row>
    <row r="2" spans="1:35" ht="145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t="s">
        <v>2614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2615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2616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2617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2618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2619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</sheetData>
  <conditionalFormatting sqref="A3:AI8">
    <cfRule type="cellIs" dxfId="19" priority="6" operator="equal">
      <formula>1</formula>
    </cfRule>
    <cfRule type="cellIs" dxfId="18" priority="7" operator="equal">
      <formula>0</formula>
    </cfRule>
    <cfRule type="cellIs" dxfId="17" priority="8" operator="equal">
      <formula>"U"</formula>
    </cfRule>
    <cfRule type="cellIs" dxfId="16" priority="9" operator="equal">
      <formula>"N"</formula>
    </cfRule>
    <cfRule type="cellIs" dxfId="15" priority="10" operator="equal">
      <formula>"Y"</formula>
    </cfRule>
  </conditionalFormatting>
  <hyperlinks>
    <hyperlink ref="A1" location="TopPage!A1" display="Back to main page" xr:uid="{76AA456C-0549-427F-98D4-491C56AC332C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A683-FB6D-428F-89DE-7867BF4BA80C}">
  <dimension ref="A1:AI8"/>
  <sheetViews>
    <sheetView workbookViewId="0">
      <selection activeCell="A2" sqref="A2:XFD2"/>
    </sheetView>
  </sheetViews>
  <sheetFormatPr defaultRowHeight="14.5" x14ac:dyDescent="0.35"/>
  <cols>
    <col min="1" max="1" width="21.453125" style="5" customWidth="1"/>
  </cols>
  <sheetData>
    <row r="1" spans="1:35" ht="15" thickBot="1" x14ac:dyDescent="0.4">
      <c r="A1" s="6" t="s">
        <v>31</v>
      </c>
    </row>
    <row r="2" spans="1:35" ht="145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2620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2621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ht="29" x14ac:dyDescent="0.35">
      <c r="A5" s="5" t="s">
        <v>2622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s="5" t="s">
        <v>2623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ht="29" x14ac:dyDescent="0.35">
      <c r="A7" s="5" t="s">
        <v>2624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ht="29" x14ac:dyDescent="0.35">
      <c r="A8" s="5" t="s">
        <v>2625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</sheetData>
  <conditionalFormatting sqref="A3:AI8">
    <cfRule type="cellIs" dxfId="14" priority="6" operator="equal">
      <formula>1</formula>
    </cfRule>
    <cfRule type="cellIs" dxfId="13" priority="7" operator="equal">
      <formula>0</formula>
    </cfRule>
    <cfRule type="cellIs" dxfId="12" priority="8" operator="equal">
      <formula>"U"</formula>
    </cfRule>
    <cfRule type="cellIs" dxfId="11" priority="9" operator="equal">
      <formula>"N"</formula>
    </cfRule>
    <cfRule type="cellIs" dxfId="10" priority="10" operator="equal">
      <formula>"Y"</formula>
    </cfRule>
  </conditionalFormatting>
  <hyperlinks>
    <hyperlink ref="A1" location="TopPage!A1" display="Back to main page" xr:uid="{EAF4AD54-438C-4856-804E-5C09B72DAB3E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047C-0B69-4856-B4FD-E94B4AD61E8F}">
  <dimension ref="A1:AI7"/>
  <sheetViews>
    <sheetView workbookViewId="0">
      <selection activeCell="A2" sqref="A2:XFD2"/>
    </sheetView>
  </sheetViews>
  <sheetFormatPr defaultRowHeight="14.5" x14ac:dyDescent="0.35"/>
  <cols>
    <col min="1" max="1" width="41.54296875" style="5" customWidth="1"/>
  </cols>
  <sheetData>
    <row r="1" spans="1:35" ht="15" thickBot="1" x14ac:dyDescent="0.4">
      <c r="A1" s="6" t="s">
        <v>31</v>
      </c>
    </row>
    <row r="2" spans="1:35" ht="145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s="5" t="s">
        <v>2626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s="5" t="s">
        <v>2627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s="5" t="s">
        <v>2628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ht="29" x14ac:dyDescent="0.35">
      <c r="A6" s="5" t="s">
        <v>2629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s="5" t="s">
        <v>2630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</sheetData>
  <conditionalFormatting sqref="A3:AI7">
    <cfRule type="cellIs" dxfId="9" priority="6" operator="equal">
      <formula>1</formula>
    </cfRule>
    <cfRule type="cellIs" dxfId="8" priority="7" operator="equal">
      <formula>0</formula>
    </cfRule>
    <cfRule type="cellIs" dxfId="7" priority="8" operator="equal">
      <formula>"U"</formula>
    </cfRule>
    <cfRule type="cellIs" dxfId="6" priority="9" operator="equal">
      <formula>"N"</formula>
    </cfRule>
    <cfRule type="cellIs" dxfId="5" priority="10" operator="equal">
      <formula>"Y"</formula>
    </cfRule>
  </conditionalFormatting>
  <hyperlinks>
    <hyperlink ref="A1" location="TopPage!A1" display="Back to main page" xr:uid="{13B2E0A1-6A17-44FE-98C8-A87A9D5A2B2B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CD5E-BB72-4B64-8D0D-39DDACF29B7E}">
  <dimension ref="A1:AI5"/>
  <sheetViews>
    <sheetView tabSelected="1" workbookViewId="0">
      <selection activeCell="A2" sqref="A2:XFD2"/>
    </sheetView>
  </sheetViews>
  <sheetFormatPr defaultRowHeight="14.5" x14ac:dyDescent="0.35"/>
  <sheetData>
    <row r="1" spans="1:35" ht="15" thickBot="1" x14ac:dyDescent="0.4">
      <c r="A1" s="1" t="s">
        <v>31</v>
      </c>
    </row>
    <row r="2" spans="1:35" ht="145.5" thickBot="1" x14ac:dyDescent="0.4">
      <c r="A2" s="3" t="s">
        <v>0</v>
      </c>
      <c r="B2" s="11" t="s">
        <v>2635</v>
      </c>
      <c r="C2" s="13" t="s">
        <v>2668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2640</v>
      </c>
      <c r="I2" s="12" t="s">
        <v>2641</v>
      </c>
      <c r="J2" s="12" t="s">
        <v>2642</v>
      </c>
      <c r="K2" s="12" t="s">
        <v>2643</v>
      </c>
      <c r="L2" s="12" t="s">
        <v>2644</v>
      </c>
      <c r="M2" s="12" t="s">
        <v>2645</v>
      </c>
      <c r="N2" s="12" t="s">
        <v>2646</v>
      </c>
      <c r="O2" s="12" t="s">
        <v>2667</v>
      </c>
      <c r="P2" s="12" t="s">
        <v>2647</v>
      </c>
      <c r="Q2" s="12" t="s">
        <v>2648</v>
      </c>
      <c r="R2" s="12" t="s">
        <v>2649</v>
      </c>
      <c r="S2" s="12" t="s">
        <v>2650</v>
      </c>
      <c r="T2" s="12" t="s">
        <v>2651</v>
      </c>
      <c r="U2" s="12" t="s">
        <v>2652</v>
      </c>
      <c r="V2" s="12" t="s">
        <v>2653</v>
      </c>
      <c r="W2" s="12" t="s">
        <v>2654</v>
      </c>
      <c r="X2" s="12" t="s">
        <v>2655</v>
      </c>
      <c r="Y2" s="12" t="s">
        <v>2656</v>
      </c>
      <c r="Z2" s="12" t="s">
        <v>2657</v>
      </c>
      <c r="AA2" s="12" t="s">
        <v>2658</v>
      </c>
      <c r="AB2" s="12" t="s">
        <v>2659</v>
      </c>
      <c r="AC2" s="12" t="s">
        <v>2660</v>
      </c>
      <c r="AD2" s="12" t="s">
        <v>2661</v>
      </c>
      <c r="AE2" s="12" t="s">
        <v>2662</v>
      </c>
      <c r="AF2" s="12" t="s">
        <v>2663</v>
      </c>
      <c r="AG2" s="12" t="s">
        <v>2664</v>
      </c>
      <c r="AH2" s="12" t="s">
        <v>2665</v>
      </c>
      <c r="AI2" s="12" t="s">
        <v>2666</v>
      </c>
    </row>
    <row r="3" spans="1:35" x14ac:dyDescent="0.35">
      <c r="A3" t="s">
        <v>2631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2632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2633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</sheetData>
  <conditionalFormatting sqref="A3:AI5">
    <cfRule type="cellIs" dxfId="4" priority="1" operator="equal">
      <formula>1</formula>
    </cfRule>
    <cfRule type="cellIs" dxfId="3" priority="2" operator="equal">
      <formula>0</formula>
    </cfRule>
    <cfRule type="cellIs" dxfId="2" priority="3" operator="equal">
      <formula>"U"</formula>
    </cfRule>
    <cfRule type="cellIs" dxfId="1" priority="4" operator="equal">
      <formula>"N"</formula>
    </cfRule>
    <cfRule type="cellIs" dxfId="0" priority="5" operator="equal">
      <formula>"Y"</formula>
    </cfRule>
  </conditionalFormatting>
  <hyperlinks>
    <hyperlink ref="A1" location="TopPage!A1" display="Back to main page" xr:uid="{563DDC0F-4B62-46D2-B887-5B48F20104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TopPage</vt:lpstr>
      <vt:lpstr>Disease</vt:lpstr>
      <vt:lpstr>Signal Transduction</vt:lpstr>
      <vt:lpstr>Metabolism</vt:lpstr>
      <vt:lpstr>Immune System</vt:lpstr>
      <vt:lpstr>Cell Cycle</vt:lpstr>
      <vt:lpstr>Gene expression (Transcription)</vt:lpstr>
      <vt:lpstr>Metabolism of proteins</vt:lpstr>
      <vt:lpstr>Neuronal System</vt:lpstr>
      <vt:lpstr>Developmental Biology</vt:lpstr>
      <vt:lpstr>Transport of small molecules</vt:lpstr>
      <vt:lpstr>DNA Repair</vt:lpstr>
      <vt:lpstr>Cellular responses to stimuli</vt:lpstr>
      <vt:lpstr>Programmed Cell Death</vt:lpstr>
      <vt:lpstr>Hemostasis</vt:lpstr>
      <vt:lpstr>Vesicle-mediated transport</vt:lpstr>
      <vt:lpstr>Metabolism of RNA</vt:lpstr>
      <vt:lpstr>DNA Replication</vt:lpstr>
      <vt:lpstr>Sensory Perception</vt:lpstr>
      <vt:lpstr>Extracellular matrix organizati</vt:lpstr>
      <vt:lpstr>Cell-Cell communication</vt:lpstr>
      <vt:lpstr>Organelle biogenesis and mainte</vt:lpstr>
      <vt:lpstr>Autophagy</vt:lpstr>
      <vt:lpstr>Drug ADME</vt:lpstr>
      <vt:lpstr>Muscle contraction</vt:lpstr>
      <vt:lpstr>Reproduction</vt:lpstr>
      <vt:lpstr>Chromatin organization</vt:lpstr>
      <vt:lpstr>Digestion and absorption</vt:lpstr>
      <vt:lpstr>Protein localization</vt:lpstr>
      <vt:lpstr>Circadian Clock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Tsai, Han- Hsuan</dc:creator>
  <cp:lastModifiedBy>Tsai, Han- Hsuan</cp:lastModifiedBy>
  <dcterms:created xsi:type="dcterms:W3CDTF">2023-05-16T16:26:13Z</dcterms:created>
  <dcterms:modified xsi:type="dcterms:W3CDTF">2025-02-17T13:25:17Z</dcterms:modified>
</cp:coreProperties>
</file>